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itHub\BrianPeri-SmartWatch\Deliverables\Bracelet(Aux_v1.0)\_Deliverables\BOM\"/>
    </mc:Choice>
  </mc:AlternateContent>
  <bookViews>
    <workbookView xWindow="0" yWindow="0" windowWidth="24000" windowHeight="11865"/>
  </bookViews>
  <sheets>
    <sheet name="Bracelet_Aux_v1.0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8" i="1" l="1"/>
  <c r="P7" i="1"/>
  <c r="N8" i="1"/>
  <c r="P4" i="1" l="1"/>
  <c r="P5" i="1"/>
  <c r="P6" i="1"/>
  <c r="P3" i="1"/>
  <c r="N4" i="1"/>
  <c r="N5" i="1"/>
  <c r="N6" i="1"/>
  <c r="N3" i="1"/>
  <c r="A5" i="1"/>
  <c r="A6" i="1"/>
  <c r="K4" i="1"/>
  <c r="K5" i="1"/>
  <c r="K6" i="1"/>
  <c r="K3" i="1"/>
  <c r="A4" i="1"/>
</calcChain>
</file>

<file path=xl/sharedStrings.xml><?xml version="1.0" encoding="utf-8"?>
<sst xmlns="http://schemas.openxmlformats.org/spreadsheetml/2006/main" count="53" uniqueCount="47">
  <si>
    <t>Description</t>
  </si>
  <si>
    <t>Designator</t>
  </si>
  <si>
    <t>Manufacturer</t>
  </si>
  <si>
    <t>Manufacturer Part Number</t>
  </si>
  <si>
    <t>0.1uF</t>
  </si>
  <si>
    <t>Multilayer Ceramic Capacitors MLCC - SMD/SMT 0201 0.1uF 25volts X5R 10%</t>
  </si>
  <si>
    <t>C1, C2, C3, C4, C5</t>
  </si>
  <si>
    <t>CAP 0201</t>
  </si>
  <si>
    <t>GRM033R61E104KE14D</t>
  </si>
  <si>
    <t>Murata</t>
  </si>
  <si>
    <t>CX80B1-24P</t>
  </si>
  <si>
    <t>CONN RCPT USB3.1 TYPE C SMT VERT</t>
  </si>
  <si>
    <t>J1</t>
  </si>
  <si>
    <t>Hirose</t>
  </si>
  <si>
    <t>3 Pin FPC</t>
  </si>
  <si>
    <t>CONN FPC 3POS 0.5MM SMD R/A</t>
  </si>
  <si>
    <t>J2</t>
  </si>
  <si>
    <t/>
  </si>
  <si>
    <t>5.1K</t>
  </si>
  <si>
    <t>Res 5.1K Ohm 5% 1/20W 0201</t>
  </si>
  <si>
    <t>R1, R2</t>
  </si>
  <si>
    <t>Res-0201</t>
  </si>
  <si>
    <t>WR02X512JAL</t>
  </si>
  <si>
    <t>Walsin Technologies</t>
  </si>
  <si>
    <t>S. No.</t>
  </si>
  <si>
    <t>Components</t>
  </si>
  <si>
    <t>Footprint (Package)</t>
  </si>
  <si>
    <t>Alternate</t>
  </si>
  <si>
    <t>Value</t>
  </si>
  <si>
    <t>Quantity (Per Board)</t>
  </si>
  <si>
    <t>Quantity 5</t>
  </si>
  <si>
    <t>DigiKey Link</t>
  </si>
  <si>
    <t>Unit Cost(1)</t>
  </si>
  <si>
    <t>Total Cost(1)</t>
  </si>
  <si>
    <t>Unit Cost (5 Boards)</t>
  </si>
  <si>
    <t>Total Cost (5)</t>
  </si>
  <si>
    <t>Remarks</t>
  </si>
  <si>
    <t>Capacitor</t>
  </si>
  <si>
    <t>Resistor</t>
  </si>
  <si>
    <t>Connector</t>
  </si>
  <si>
    <t>Digikey</t>
  </si>
  <si>
    <t>ERJ-1GNJ512C</t>
  </si>
  <si>
    <t xml:space="preserve">non-stock </t>
  </si>
  <si>
    <t>DO NOT MOUNT</t>
  </si>
  <si>
    <t>Bill of Material (BOM) for  Brian Peri</t>
  </si>
  <si>
    <t xml:space="preserve">Total Component Cost </t>
  </si>
  <si>
    <t>Single Board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</si>
</sst>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&quot;$&quot;#,##0.0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6" xfId="0" applyFont="1" applyBorder="1"/>
    <xf numFmtId="0" fontId="6" fillId="0" borderId="7" xfId="0" quotePrefix="1" applyFont="1" applyBorder="1" applyAlignment="1">
      <alignment horizontal="left" vertical="top"/>
    </xf>
    <xf numFmtId="0" fontId="6" fillId="3" borderId="7" xfId="0" quotePrefix="1" applyFont="1" applyFill="1" applyBorder="1" applyAlignment="1">
      <alignment horizontal="left" vertical="top"/>
    </xf>
    <xf numFmtId="0" fontId="6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5" fontId="7" fillId="3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wrapText="1"/>
    </xf>
    <xf numFmtId="0" fontId="10" fillId="4" borderId="0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hirose-electric-co-ltd/CX80B1-24P/9816160?s=N4IgTCBcDaIMIA0AcAGAQgRgLRgCwAUQBdAXyA" TargetMode="External"/><Relationship Id="rId2" Type="http://schemas.openxmlformats.org/officeDocument/2006/relationships/hyperlink" Target="https://www.digikey.com/en/products/detail/panasonic-electronic-components/ERJ-1GNJ512C/2035804" TargetMode="External"/><Relationship Id="rId1" Type="http://schemas.openxmlformats.org/officeDocument/2006/relationships/hyperlink" Target="https://www.digikey.com/en/products/detail/murata-electronics/GRM033R61E104KE14D/4904731?s=N4IgTCBcDaIOICUCyAGAzGhA2AjAURxQBYBpAogERAF0BfIA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tabSelected="1" workbookViewId="0">
      <selection activeCell="C14" sqref="C14"/>
    </sheetView>
  </sheetViews>
  <sheetFormatPr defaultRowHeight="15" x14ac:dyDescent="0.25"/>
  <cols>
    <col min="1" max="1" width="6.140625" bestFit="1" customWidth="1"/>
    <col min="2" max="2" width="14.42578125" customWidth="1"/>
    <col min="3" max="3" width="39.28515625" customWidth="1"/>
    <col min="4" max="4" width="14.42578125" customWidth="1"/>
    <col min="5" max="5" width="18.5703125" bestFit="1" customWidth="1"/>
    <col min="6" max="6" width="25.28515625" bestFit="1" customWidth="1"/>
    <col min="7" max="7" width="17.7109375" bestFit="1" customWidth="1"/>
    <col min="8" max="8" width="14.42578125" customWidth="1"/>
    <col min="9" max="9" width="10.5703125" bestFit="1" customWidth="1"/>
    <col min="10" max="10" width="8.140625" customWidth="1"/>
    <col min="12" max="12" width="11.7109375" bestFit="1" customWidth="1"/>
    <col min="17" max="17" width="15.42578125" bestFit="1" customWidth="1"/>
  </cols>
  <sheetData>
    <row r="1" spans="1:17" ht="16.5" thickBot="1" x14ac:dyDescent="0.3">
      <c r="A1" s="21" t="s">
        <v>44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3"/>
    </row>
    <row r="2" spans="1:17" ht="15.75" thickBot="1" x14ac:dyDescent="0.3">
      <c r="A2" s="1" t="s">
        <v>24</v>
      </c>
      <c r="B2" s="2" t="s">
        <v>25</v>
      </c>
      <c r="C2" s="2" t="s">
        <v>0</v>
      </c>
      <c r="D2" s="2" t="s">
        <v>1</v>
      </c>
      <c r="E2" s="2" t="s">
        <v>26</v>
      </c>
      <c r="F2" s="2" t="s">
        <v>3</v>
      </c>
      <c r="G2" s="2" t="s">
        <v>2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</row>
    <row r="3" spans="1:17" ht="15.75" thickBot="1" x14ac:dyDescent="0.3">
      <c r="A3" s="5">
        <v>1</v>
      </c>
      <c r="B3" s="3" t="s">
        <v>37</v>
      </c>
      <c r="C3" s="6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9"/>
      <c r="I3" s="8" t="s">
        <v>4</v>
      </c>
      <c r="J3" s="10">
        <v>5</v>
      </c>
      <c r="K3" s="9">
        <f>J3*5</f>
        <v>25</v>
      </c>
      <c r="L3" s="11" t="s">
        <v>40</v>
      </c>
      <c r="M3" s="18">
        <v>0.1</v>
      </c>
      <c r="N3" s="16">
        <f>M3*J3</f>
        <v>0.5</v>
      </c>
      <c r="O3" s="18">
        <v>5.6000000000000001E-2</v>
      </c>
      <c r="P3" s="16">
        <f>O3*K3</f>
        <v>1.4000000000000001</v>
      </c>
      <c r="Q3" s="9"/>
    </row>
    <row r="4" spans="1:17" ht="15.75" thickBot="1" x14ac:dyDescent="0.3">
      <c r="A4" s="5">
        <f>A3+1</f>
        <v>2</v>
      </c>
      <c r="B4" s="4" t="s">
        <v>38</v>
      </c>
      <c r="C4" s="6" t="s">
        <v>19</v>
      </c>
      <c r="D4" s="8" t="s">
        <v>20</v>
      </c>
      <c r="E4" s="8" t="s">
        <v>21</v>
      </c>
      <c r="F4" s="8" t="s">
        <v>22</v>
      </c>
      <c r="G4" s="8" t="s">
        <v>23</v>
      </c>
      <c r="H4" s="9" t="s">
        <v>41</v>
      </c>
      <c r="I4" s="8" t="s">
        <v>18</v>
      </c>
      <c r="J4" s="10">
        <v>2</v>
      </c>
      <c r="K4" s="9">
        <f t="shared" ref="K4:K6" si="0">J4*5</f>
        <v>10</v>
      </c>
      <c r="L4" s="11" t="s">
        <v>40</v>
      </c>
      <c r="M4" s="18">
        <v>0.1</v>
      </c>
      <c r="N4" s="16">
        <f t="shared" ref="N4:N6" si="1">M4*J4</f>
        <v>0.2</v>
      </c>
      <c r="O4" s="18">
        <v>2.8000000000000001E-2</v>
      </c>
      <c r="P4" s="16">
        <f t="shared" ref="P4:P6" si="2">O4*K4</f>
        <v>0.28000000000000003</v>
      </c>
      <c r="Q4" s="9"/>
    </row>
    <row r="5" spans="1:17" ht="15.75" thickBot="1" x14ac:dyDescent="0.3">
      <c r="A5" s="5">
        <f t="shared" ref="A5:A6" si="3">A4+1</f>
        <v>3</v>
      </c>
      <c r="B5" s="24" t="s">
        <v>39</v>
      </c>
      <c r="C5" s="6" t="s">
        <v>11</v>
      </c>
      <c r="D5" s="8" t="s">
        <v>12</v>
      </c>
      <c r="E5" s="8" t="s">
        <v>10</v>
      </c>
      <c r="F5" s="8" t="s">
        <v>10</v>
      </c>
      <c r="G5" s="8" t="s">
        <v>13</v>
      </c>
      <c r="H5" s="9"/>
      <c r="I5" s="8" t="s">
        <v>10</v>
      </c>
      <c r="J5" s="10">
        <v>1</v>
      </c>
      <c r="K5" s="9">
        <f t="shared" si="0"/>
        <v>5</v>
      </c>
      <c r="L5" s="11" t="s">
        <v>40</v>
      </c>
      <c r="M5" s="18">
        <v>3.23</v>
      </c>
      <c r="N5" s="16">
        <f t="shared" si="1"/>
        <v>3.23</v>
      </c>
      <c r="O5" s="18">
        <v>3.23</v>
      </c>
      <c r="P5" s="16">
        <f t="shared" si="2"/>
        <v>16.149999999999999</v>
      </c>
      <c r="Q5" s="9" t="s">
        <v>42</v>
      </c>
    </row>
    <row r="6" spans="1:17" ht="15.75" thickBot="1" x14ac:dyDescent="0.3">
      <c r="A6" s="5">
        <f t="shared" si="3"/>
        <v>4</v>
      </c>
      <c r="B6" s="25"/>
      <c r="C6" s="7" t="s">
        <v>15</v>
      </c>
      <c r="D6" s="12" t="s">
        <v>16</v>
      </c>
      <c r="E6" s="12" t="s">
        <v>14</v>
      </c>
      <c r="F6" s="12" t="s">
        <v>17</v>
      </c>
      <c r="G6" s="12" t="s">
        <v>17</v>
      </c>
      <c r="H6" s="13"/>
      <c r="I6" s="12" t="s">
        <v>14</v>
      </c>
      <c r="J6" s="14">
        <v>1</v>
      </c>
      <c r="K6" s="13">
        <f t="shared" si="0"/>
        <v>5</v>
      </c>
      <c r="L6" s="13"/>
      <c r="M6" s="19"/>
      <c r="N6" s="17">
        <f t="shared" si="1"/>
        <v>0</v>
      </c>
      <c r="O6" s="19"/>
      <c r="P6" s="17">
        <f t="shared" si="2"/>
        <v>0</v>
      </c>
      <c r="Q6" s="15" t="s">
        <v>43</v>
      </c>
    </row>
    <row r="7" spans="1:17" ht="19.5" thickBot="1" x14ac:dyDescent="0.35">
      <c r="J7" s="26" t="s">
        <v>45</v>
      </c>
      <c r="K7" s="26"/>
      <c r="L7" s="26"/>
      <c r="M7" s="26"/>
      <c r="P7" s="20">
        <f>SUM(P3:P6)</f>
        <v>17.829999999999998</v>
      </c>
    </row>
    <row r="8" spans="1:17" ht="18.75" x14ac:dyDescent="0.3">
      <c r="J8" s="27" t="s">
        <v>46</v>
      </c>
      <c r="K8" s="27"/>
      <c r="L8" s="27"/>
      <c r="M8" s="27"/>
      <c r="N8" s="20">
        <f>SUM(N3:N6)</f>
        <v>3.9299999999999997</v>
      </c>
      <c r="P8" s="20">
        <f>P7/5</f>
        <v>3.5659999999999998</v>
      </c>
    </row>
  </sheetData>
  <mergeCells count="4">
    <mergeCell ref="A1:Q1"/>
    <mergeCell ref="B5:B6"/>
    <mergeCell ref="J7:M7"/>
    <mergeCell ref="J8:M8"/>
  </mergeCells>
  <conditionalFormatting sqref="J3:K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8:P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{8D1B2624-74D4-4DC9-8B0B-00F9E3F624E4}</x14:id>
        </ext>
      </extLst>
    </cfRule>
  </conditionalFormatting>
  <conditionalFormatting sqref="N3:N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{9247D164-2B67-46B9-A071-A237687D6A54}</x14:id>
        </ext>
      </extLst>
    </cfRule>
  </conditionalFormatting>
  <conditionalFormatting sqref="P3:P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{70AA7481-CFEB-4BA0-AFB1-AC7B4702AFE5}</x14:id>
        </ext>
      </extLst>
    </cfRule>
  </conditionalFormatting>
  <hyperlinks>
    <hyperlink ref="L3" r:id="rId1"/>
    <hyperlink ref="L4" r:id="rId2"/>
    <hyperlink ref="L5" r:id="rId3"/>
  </hyperlinks>
  <pageMargins left="0.7" right="0.7" top="0.75" bottom="0.75" header="0.3" footer="0.3"/>
  <pageSetup orientation="portrait"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1B2624-74D4-4DC9-8B0B-00F9E3F624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N8:P8</xm:sqref>
        </x14:conditionalFormatting>
        <x14:conditionalFormatting xmlns:xm="http://schemas.microsoft.com/office/excel/2006/main">
          <x14:cfRule type="dataBar" id="{9247D164-2B67-46B9-A071-A237687D6A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N3:N6</xm:sqref>
        </x14:conditionalFormatting>
        <x14:conditionalFormatting xmlns:xm="http://schemas.microsoft.com/office/excel/2006/main">
          <x14:cfRule type="dataBar" id="{70AA7481-CFEB-4BA0-AFB1-AC7B4702AF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P3:P6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Bracelet_Aux_v1.0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2021-07-10T12:02:52Z</dcterms:created>
  <dcterms:modified xsi:type="dcterms:W3CDTF">2021-07-12T10:17:23Z</dcterms:modified>
</cp:coreProperties>
</file>