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BrianPeri-SmartWatch\Deliverables\Bracelet(Main)\BOM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6" i="1" l="1"/>
  <c r="R55" i="1"/>
  <c r="P56" i="1"/>
  <c r="O47" i="1"/>
  <c r="P47" i="1" s="1"/>
  <c r="Q47" i="1" s="1"/>
  <c r="R47" i="1" s="1"/>
  <c r="P48" i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M52" i="1" l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M3" i="1"/>
</calcChain>
</file>

<file path=xl/sharedStrings.xml><?xml version="1.0" encoding="utf-8"?>
<sst xmlns="http://schemas.openxmlformats.org/spreadsheetml/2006/main" count="430" uniqueCount="310">
  <si>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</si>
  <si>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</si>
  <si>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</si>
  <si>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</si>
  <si>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</si>
  <si>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</si>
  <si>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</si>
  <si>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</si>
  <si>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</si>
  <si>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</si>
  <si>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Unit Cost(1)</t>
  </si>
  <si>
    <t>Total Cost(1)</t>
  </si>
  <si>
    <t>Unit Cost (5 Boards)</t>
  </si>
  <si>
    <t>Total Cost (5)</t>
  </si>
  <si>
    <t>Remarks</t>
  </si>
  <si>
    <t>Capacitor</t>
  </si>
  <si>
    <t>Multilayer Ceramic Capacitors MLCC - SMD/SMT 0201 0.1uF 25volts X5R 10%, CAP CER 0.1UF 25V X5R 0201</t>
  </si>
  <si>
    <t>C1, C2, C3, C4, C5, C6, C9, C13, C14, C15, C16, C17, C18, C21, C22, C23, C27, C33, C35, C41, C42, C45, C48, CU1</t>
  </si>
  <si>
    <t>CAP 0201</t>
  </si>
  <si>
    <t>GRM033R61E104KE14D</t>
  </si>
  <si>
    <t>Murata Electronics</t>
  </si>
  <si>
    <t>0.1uF</t>
  </si>
  <si>
    <t>CAP CER 2PF 50V C0G/NP0 0603</t>
  </si>
  <si>
    <t>C7</t>
  </si>
  <si>
    <t>Cap0603</t>
  </si>
  <si>
    <t>CML0603C0G2R0CT50V</t>
  </si>
  <si>
    <t>Stackpole Electronics Inc</t>
  </si>
  <si>
    <t>2pF</t>
  </si>
  <si>
    <t>CAP CER 2.7PF 50V C0G/NP0 0603</t>
  </si>
  <si>
    <t>C8</t>
  </si>
  <si>
    <t>CML0603C0G2R7CT50V</t>
  </si>
  <si>
    <t>2.7pF</t>
  </si>
  <si>
    <t>10uF ±20% 10V X5R 0402 Multilayer Ceramic Capacitors MLCC - SMD/SMT RoHS</t>
  </si>
  <si>
    <t>C10, C19, C24, C29, C39, C40</t>
  </si>
  <si>
    <t>Cap 0402</t>
  </si>
  <si>
    <t>GRM155R61A106ME44D</t>
  </si>
  <si>
    <t>10uF</t>
  </si>
  <si>
    <t>Mlcc 0201 X5R1UF16V 20% T: 0.39MM</t>
  </si>
  <si>
    <t>C11, C12, C20, C28, CU2</t>
  </si>
  <si>
    <t>CL03A105MO3NRNC</t>
  </si>
  <si>
    <t>Samsung Electro-Mechanics</t>
  </si>
  <si>
    <t>1uF</t>
  </si>
  <si>
    <t>CAP CER 22UF 16V X5R 0805</t>
  </si>
  <si>
    <t>C25</t>
  </si>
  <si>
    <t>Cap0805</t>
  </si>
  <si>
    <t>CL21A226MOQNNNE</t>
  </si>
  <si>
    <t>22uF</t>
  </si>
  <si>
    <t>Cap Ceramic Monolithic 22uF 10VDC 20% SMD Paper T/R</t>
  </si>
  <si>
    <t>C26, C30, C31</t>
  </si>
  <si>
    <t>GRT188R61A226ME13D</t>
  </si>
  <si>
    <t>Cap Ceramic 4.7uF 16V X5R 20% SMD 0402 85C T/R</t>
  </si>
  <si>
    <t>C32, C34, C46, C47</t>
  </si>
  <si>
    <t>CL05A475MO5NUNC</t>
  </si>
  <si>
    <t>4.7uF</t>
  </si>
  <si>
    <t>CAP CER 2.2UF 10V X5R 0201</t>
  </si>
  <si>
    <t>C36, C38</t>
  </si>
  <si>
    <t>GRM033R61A225ME47D</t>
  </si>
  <si>
    <t>2.2uF</t>
  </si>
  <si>
    <t>CAP SMD .047uF 16V 0201</t>
  </si>
  <si>
    <t>C37</t>
  </si>
  <si>
    <t>GRM033R61C473KE84D</t>
  </si>
  <si>
    <t>47nF</t>
  </si>
  <si>
    <t>Diode</t>
  </si>
  <si>
    <t>DIODE SCHOTTKY 30V 1A SOD123W</t>
  </si>
  <si>
    <t>D1</t>
  </si>
  <si>
    <t>SOD123W</t>
  </si>
  <si>
    <t>PMEG3010ER,115</t>
  </si>
  <si>
    <t>Nexperia USA Inc.</t>
  </si>
  <si>
    <t>DIODE SCHOTTKY 20V 1A TO236AB</t>
  </si>
  <si>
    <t>D2</t>
  </si>
  <si>
    <t>PMEG2010ET,215</t>
  </si>
  <si>
    <t>less stock</t>
  </si>
  <si>
    <t>Green 520~535nm 0402 Light Emitting Diodes (LED) RoHS</t>
  </si>
  <si>
    <t>LED1, LED2</t>
  </si>
  <si>
    <t>LED 0402</t>
  </si>
  <si>
    <t>16-213/GHC-YR1S1/3T</t>
  </si>
  <si>
    <t>Everlight Elec</t>
  </si>
  <si>
    <t>Inductor</t>
  </si>
  <si>
    <t>FIXED IND 2.7NH 800MA 80MOHM SMD</t>
  </si>
  <si>
    <t>L1</t>
  </si>
  <si>
    <t>L-15W2N7SV4E</t>
  </si>
  <si>
    <t>Johanson Technology Inc.</t>
  </si>
  <si>
    <t>2.7nH</t>
  </si>
  <si>
    <t>10uH ±20% 1.6A 230mO SMD,4.75x4.2x2mm Inductors (SMD) RoHS</t>
  </si>
  <si>
    <t>L2</t>
  </si>
  <si>
    <t>MS0420-100M</t>
  </si>
  <si>
    <t>COILMX</t>
  </si>
  <si>
    <t>10uH</t>
  </si>
  <si>
    <t>FIXED IND 4.7UH 5A 52 MOHM SMD</t>
  </si>
  <si>
    <t>L3</t>
  </si>
  <si>
    <t>AMDLA4530Q-4R7MT</t>
  </si>
  <si>
    <t>Abracon LLC</t>
  </si>
  <si>
    <t>4.7uH</t>
  </si>
  <si>
    <t>Inductor Power Shielded Wirewound 1uH 20% 1MHz Metal 2.7A 0.057Ohm DCR 0806 T/R</t>
  </si>
  <si>
    <t>L4</t>
  </si>
  <si>
    <t>IND  0806</t>
  </si>
  <si>
    <t>DFE201610E-1R0M=P2</t>
  </si>
  <si>
    <t>1uH</t>
  </si>
  <si>
    <t>Mosfet</t>
  </si>
  <si>
    <t>TRANS 2NPN PREBIAS 0.15W UMT6</t>
  </si>
  <si>
    <t>Q1</t>
  </si>
  <si>
    <t>SOT-363</t>
  </si>
  <si>
    <t>UMH3NTN</t>
  </si>
  <si>
    <t>Rohm Semiconductor</t>
  </si>
  <si>
    <t>MOSFET N-CH 100V .1A SOT23-3</t>
  </si>
  <si>
    <t>Q2</t>
  </si>
  <si>
    <t>SOT-23</t>
  </si>
  <si>
    <t>ZVN3310FTA</t>
  </si>
  <si>
    <t>Diodes Incorporated</t>
  </si>
  <si>
    <t>Resistor</t>
  </si>
  <si>
    <t>10kO ±1% 1/20W ±200ppm/? 0201 Chip Resistor - Surface Mount RoHS</t>
  </si>
  <si>
    <t>R1, R3, R4, R5, R6, R10</t>
  </si>
  <si>
    <t>Res-0201</t>
  </si>
  <si>
    <t>CR0201F10K0Q15Z</t>
  </si>
  <si>
    <t>Ever Ohms Tech</t>
  </si>
  <si>
    <t>10K</t>
  </si>
  <si>
    <t>Chip Resistor Automotive Grade Thick Film 0201 1.2kOhm 5% Paper T/R</t>
  </si>
  <si>
    <t>R2</t>
  </si>
  <si>
    <t>AC0201JR-071K2L</t>
  </si>
  <si>
    <t>Yageo</t>
  </si>
  <si>
    <t>1.2K</t>
  </si>
  <si>
    <t>GENERAL 0201 11% REEL (7INCH)</t>
  </si>
  <si>
    <t>R7</t>
  </si>
  <si>
    <t>RC0201FR-0747KL</t>
  </si>
  <si>
    <t>47K</t>
  </si>
  <si>
    <t>1.4MO ±1% 1/20W ±200ppm/? 0201 Chip Resistor - Surface Mount RoHS</t>
  </si>
  <si>
    <t>R8</t>
  </si>
  <si>
    <t>0201WMF1404TEE</t>
  </si>
  <si>
    <t>UNI-ROYAL(Uniroyal Elec)</t>
  </si>
  <si>
    <t>1.4M</t>
  </si>
  <si>
    <t>71.5kO ±1% 0.05W ±200ppm/? 0201 Chip Resistor - Surface Mount RoHS</t>
  </si>
  <si>
    <t>R9</t>
  </si>
  <si>
    <t>0201WMF7152TEE</t>
  </si>
  <si>
    <t>71.5K</t>
  </si>
  <si>
    <t>Res 95.3K Ohm 1% 1/20W 0201</t>
  </si>
  <si>
    <t>R11</t>
  </si>
  <si>
    <t>WR02X9532FAL</t>
  </si>
  <si>
    <t>Walsin Technology Corporation</t>
  </si>
  <si>
    <t>95.3K</t>
  </si>
  <si>
    <t>13kO ±5% 1/20W ±200ppm/? 0201 Chip Resistor - Surface Mount RoHS</t>
  </si>
  <si>
    <t>R12</t>
  </si>
  <si>
    <t>0201WMJ0133TEE</t>
  </si>
  <si>
    <t>13K</t>
  </si>
  <si>
    <t>Res Thick Film 0201 1M Ohm 5% 0.05W(1/20W) ±200ppm/C Molded SMD Paper T/R</t>
  </si>
  <si>
    <t>R13, R16</t>
  </si>
  <si>
    <t>WR02X105JAL</t>
  </si>
  <si>
    <t>1M</t>
  </si>
  <si>
    <t>YAGEO - RC0201FR-071KL - RES, 1K, 1%, 0.05W, 0201, THICK FILM</t>
  </si>
  <si>
    <t>R14</t>
  </si>
  <si>
    <t>RC0201FR-071KL</t>
  </si>
  <si>
    <t>1K</t>
  </si>
  <si>
    <t>RES SMD 13.3K  1/20W 0201</t>
  </si>
  <si>
    <t>R15</t>
  </si>
  <si>
    <t>0201WMF1332TEE</t>
  </si>
  <si>
    <t>13.3K</t>
  </si>
  <si>
    <t>NTC Thermistors 0201</t>
  </si>
  <si>
    <t>R17</t>
  </si>
  <si>
    <t>NCP03XH103F05RL</t>
  </si>
  <si>
    <t>Res SMD 21K Ohm 1% 1/20W 0201</t>
  </si>
  <si>
    <t>R18</t>
  </si>
  <si>
    <t>AC0201FR-0721KL</t>
  </si>
  <si>
    <t>21K</t>
  </si>
  <si>
    <t>Thick Film Resistors - SMD 4.32K OHM 1%</t>
  </si>
  <si>
    <t>R19</t>
  </si>
  <si>
    <t>RK73H1HTTC4321F</t>
  </si>
  <si>
    <t>KOA Speer Electronics, Inc.</t>
  </si>
  <si>
    <t>4.32K</t>
  </si>
  <si>
    <t>Switch</t>
  </si>
  <si>
    <t>SWITCH TACTILE SPST-NO 0.05A 12V</t>
  </si>
  <si>
    <t>SW1</t>
  </si>
  <si>
    <t>B3U-1000P</t>
  </si>
  <si>
    <t>Omron Electronics Inc-EMC Div</t>
  </si>
  <si>
    <t>Antenna</t>
  </si>
  <si>
    <t>2.4GHz Chip RF Antenna 2.4GHz ~ 2.5GHz 0.5dBi Solder Surface Mount</t>
  </si>
  <si>
    <t>U</t>
  </si>
  <si>
    <t>2450AT18A100E</t>
  </si>
  <si>
    <t>Ics</t>
  </si>
  <si>
    <t>RX TXRX MOD WIFI SURFACE MOUNT</t>
  </si>
  <si>
    <t>U2</t>
  </si>
  <si>
    <t>48-SMD Module</t>
  </si>
  <si>
    <t>ESP32-PICO-D4</t>
  </si>
  <si>
    <t>Volatile 64Mb (8M x 8) SPI/ QPI 2.7V ~ 3.6V SOP-8_150mil RAM RoHS</t>
  </si>
  <si>
    <t>U3</t>
  </si>
  <si>
    <t>SOP-8</t>
  </si>
  <si>
    <t>LY68L6400SLIT</t>
  </si>
  <si>
    <t>Lyontek Inc.</t>
  </si>
  <si>
    <t>WIDE-FULL SCALE RANGE 6-AXIS MEM</t>
  </si>
  <si>
    <t>U4</t>
  </si>
  <si>
    <t>24-QFN (3x3)</t>
  </si>
  <si>
    <t>ICM-20649</t>
  </si>
  <si>
    <t>TDK InvenSense</t>
  </si>
  <si>
    <t>IC SENSR TOUCH/PROX 1CH 8-UDFN</t>
  </si>
  <si>
    <t>U5</t>
  </si>
  <si>
    <t>8-UDFN</t>
  </si>
  <si>
    <t>AT42QT1011-MAHR</t>
  </si>
  <si>
    <t>Microchip Technology</t>
  </si>
  <si>
    <t>33V 4A DFN-10 DC-DC Converters RoHS</t>
  </si>
  <si>
    <t>U6</t>
  </si>
  <si>
    <t>DFN-10</t>
  </si>
  <si>
    <t>SY7304DBC</t>
  </si>
  <si>
    <t>Silergy Corp</t>
  </si>
  <si>
    <t>Step-Up Positive Adjustable 1 2A 1.2MHz SOT-23-6 DC-DC Converters RoHS</t>
  </si>
  <si>
    <t>U7</t>
  </si>
  <si>
    <t>SOT-23-6</t>
  </si>
  <si>
    <t>AX5523CA</t>
  </si>
  <si>
    <t>Axelite Tech</t>
  </si>
  <si>
    <t>IC PWR SWITCH P-CHAN 1:1 SOT23-5</t>
  </si>
  <si>
    <t>U8</t>
  </si>
  <si>
    <t>SOT-23-5</t>
  </si>
  <si>
    <t>MIC2004-0.5YM5-TR</t>
  </si>
  <si>
    <t>IC REG LINEAR 3.3V 1A UDFN3030-8</t>
  </si>
  <si>
    <t>U9</t>
  </si>
  <si>
    <t>U-DFN3030-8</t>
  </si>
  <si>
    <t>AP7361C-33FGE-7</t>
  </si>
  <si>
    <t>STANDALONE 1-CELL 17-V, 3.0-A BA</t>
  </si>
  <si>
    <t>U10</t>
  </si>
  <si>
    <t>16-WQFN (3x3)</t>
  </si>
  <si>
    <t>BQ25303JRTER</t>
  </si>
  <si>
    <t>Texas Instruments</t>
  </si>
  <si>
    <t>Connector</t>
  </si>
  <si>
    <t>CONN U.FL RCPT STR 50 OHM SMD</t>
  </si>
  <si>
    <t>J1</t>
  </si>
  <si>
    <t>U.FL-R-SMT-1(80)</t>
  </si>
  <si>
    <t>Hirose Electric Co Ltd</t>
  </si>
  <si>
    <t>Straight 4 pin magnetic data connector, stably working, high quality magnetic connectors</t>
  </si>
  <si>
    <t>J6</t>
  </si>
  <si>
    <t>HTP-CON-M411H</t>
  </si>
  <si>
    <t>HYTEPRO</t>
  </si>
  <si>
    <t>Please Fill this</t>
  </si>
  <si>
    <t>CABLE ADAPTER 6 POS</t>
  </si>
  <si>
    <t>J5</t>
  </si>
  <si>
    <t>TC2030-IDC</t>
  </si>
  <si>
    <t>Tag-Connect LLC</t>
  </si>
  <si>
    <t>DO NOT MOUNT</t>
  </si>
  <si>
    <t>CONN FPC 20POS 0.5MM SMD R/A</t>
  </si>
  <si>
    <t>J2</t>
  </si>
  <si>
    <t>20 Pin FPC</t>
  </si>
  <si>
    <t>CONN FPC 3POS 0.5MM SMD R/A</t>
  </si>
  <si>
    <t>J3, J4</t>
  </si>
  <si>
    <t>3 Pin FPC</t>
  </si>
  <si>
    <t>Test Point ON</t>
  </si>
  <si>
    <t>P2</t>
  </si>
  <si>
    <t>TEST POINT</t>
  </si>
  <si>
    <t>Test Point</t>
  </si>
  <si>
    <t>Solder Bridge ON</t>
  </si>
  <si>
    <t>SB1, SB2, SB3, SB4, SB5, SB6, SB7, SB8, SB9, SB10, SB11, SB12, SB13, SB14</t>
  </si>
  <si>
    <t>Solder Bridge</t>
  </si>
  <si>
    <t>OLED</t>
  </si>
  <si>
    <t>Display Module</t>
  </si>
  <si>
    <t>UG-6464TDDBG01</t>
  </si>
  <si>
    <t>Quotation Send to supplier</t>
  </si>
  <si>
    <t>Battery</t>
  </si>
  <si>
    <t>Ask to the Cient</t>
  </si>
  <si>
    <t xml:space="preserve">Total Component Cost </t>
  </si>
  <si>
    <t>Single Board Cost</t>
  </si>
  <si>
    <t xml:space="preserve">LCSC Part No </t>
  </si>
  <si>
    <t>LCSC/MOQ</t>
  </si>
  <si>
    <t>Quantity (5 boards)</t>
  </si>
  <si>
    <t>LCSC Link</t>
  </si>
  <si>
    <t>Bill of Material (BOM) for  Brian Peri</t>
  </si>
  <si>
    <t>LCSC</t>
  </si>
  <si>
    <t>C76939</t>
  </si>
  <si>
    <t>C77000</t>
  </si>
  <si>
    <t>C318540</t>
  </si>
  <si>
    <t>C98190</t>
  </si>
  <si>
    <t>C318563</t>
  </si>
  <si>
    <t>C319184</t>
  </si>
  <si>
    <t>C88917</t>
  </si>
  <si>
    <t>C282564</t>
  </si>
  <si>
    <t>C74338</t>
  </si>
  <si>
    <t>C380158</t>
  </si>
  <si>
    <t>C161082</t>
  </si>
  <si>
    <t>C123008</t>
  </si>
  <si>
    <t>C110533</t>
  </si>
  <si>
    <t>C881217</t>
  </si>
  <si>
    <t>C144824</t>
  </si>
  <si>
    <t>C138139</t>
  </si>
  <si>
    <t>C423737</t>
  </si>
  <si>
    <t>C516473</t>
  </si>
  <si>
    <t>C384434</t>
  </si>
  <si>
    <t>C423382</t>
  </si>
  <si>
    <t>C138165</t>
  </si>
  <si>
    <t>C423749</t>
  </si>
  <si>
    <t>C98098</t>
  </si>
  <si>
    <t>C910620</t>
  </si>
  <si>
    <t>C369015</t>
  </si>
  <si>
    <t>C231329</t>
  </si>
  <si>
    <t>C193707</t>
  </si>
  <si>
    <t>C261881</t>
  </si>
  <si>
    <t>C157694</t>
  </si>
  <si>
    <t>C151007</t>
  </si>
  <si>
    <t>C88374</t>
  </si>
  <si>
    <t>C1650</t>
  </si>
  <si>
    <t>0603CG2R0C500NT</t>
  </si>
  <si>
    <t>C95180</t>
  </si>
  <si>
    <t>0603CG2R7C500NT</t>
  </si>
  <si>
    <t>C86295</t>
  </si>
  <si>
    <t>CL10A226MP8NUNE</t>
  </si>
  <si>
    <t>C98530</t>
  </si>
  <si>
    <t>BKW0805UC2N7JGT</t>
  </si>
  <si>
    <t>Some Parameters are different</t>
  </si>
  <si>
    <t>C270678</t>
  </si>
  <si>
    <t>0201WMF9532TCE</t>
  </si>
  <si>
    <t>WinSource</t>
  </si>
  <si>
    <t>Verical</t>
  </si>
  <si>
    <t>PMEG3010BER,115</t>
  </si>
  <si>
    <t>NO alternate found</t>
  </si>
  <si>
    <t>Available to backorder</t>
  </si>
  <si>
    <t xml:space="preserve">Onlinecomponent </t>
  </si>
  <si>
    <t>250 stock but 750 moq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</si>
</sst>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00"/>
    <numFmt numFmtId="165" formatCode="&quot;$&quot;#,##0.00"/>
    <numFmt numFmtId="166" formatCode="&quot;$&quot;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4" xfId="0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0" fontId="0" fillId="0" borderId="5" xfId="0" applyFont="1" applyBorder="1"/>
    <xf numFmtId="0" fontId="5" fillId="0" borderId="5" xfId="0" quotePrefix="1" applyFont="1" applyBorder="1"/>
    <xf numFmtId="0" fontId="5" fillId="0" borderId="5" xfId="0" quotePrefix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4" fontId="0" fillId="4" borderId="5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5" fontId="0" fillId="4" borderId="5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64" fontId="3" fillId="0" borderId="5" xfId="1" applyNumberFormat="1" applyFont="1" applyFill="1" applyBorder="1" applyAlignment="1">
      <alignment horizontal="center" vertical="center"/>
    </xf>
    <xf numFmtId="0" fontId="5" fillId="0" borderId="5" xfId="0" quotePrefix="1" applyFont="1" applyFill="1" applyBorder="1"/>
    <xf numFmtId="0" fontId="5" fillId="0" borderId="5" xfId="0" quotePrefix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166" fontId="0" fillId="0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brand-detail/11934.html" TargetMode="External"/><Relationship Id="rId18" Type="http://schemas.openxmlformats.org/officeDocument/2006/relationships/hyperlink" Target="https://lcsc.com/product-detail/Multilayer-Ceramic-Capacitors-MLCC-SMD-SMT_Samsung-Electro-Mechanics-CL03A105MO3NRNC_C318540.html" TargetMode="External"/><Relationship Id="rId26" Type="http://schemas.openxmlformats.org/officeDocument/2006/relationships/hyperlink" Target="https://lcsc.com/product-detail/Inductors-SMD_Murata-Electronics_DFE201610E-1R0M-P2_Murata-Electronics-DFE201610E-1R0M-P2_C161082.html" TargetMode="External"/><Relationship Id="rId39" Type="http://schemas.openxmlformats.org/officeDocument/2006/relationships/hyperlink" Target="https://lcsc.com/product-detail/Chip-Resistor-Surface-Mount_YAGEO-AC0201FR-0721KL_C910620.html" TargetMode="External"/><Relationship Id="rId21" Type="http://schemas.openxmlformats.org/officeDocument/2006/relationships/hyperlink" Target="https://lcsc.com/product-detail/Multilayer-Ceramic-Capacitors-MLCC-SMD-SMT_Murata-Electronics-GRM033R61A225ME47D_C319184.html" TargetMode="External"/><Relationship Id="rId34" Type="http://schemas.openxmlformats.org/officeDocument/2006/relationships/hyperlink" Target="https://lcsc.com/product-detail/Chip-Resistor-Surface-Mount_Walsin-Tech-Corp-WR02X105JAL_C384434.html" TargetMode="External"/><Relationship Id="rId42" Type="http://schemas.openxmlformats.org/officeDocument/2006/relationships/hyperlink" Target="https://lcsc.com/product-detail/RF-Transceiver-ICs_Espressif-Systems-ESP32-PICO-D4_C193707.html" TargetMode="External"/><Relationship Id="rId47" Type="http://schemas.openxmlformats.org/officeDocument/2006/relationships/hyperlink" Target="https://lcsc.com/product-detail/Multilayer-Ceramic-Capacitors-MLCC-SMD-SMT_FH-Guangdong-Fenghua-Advanced-Tech-0603CG2R0C500NT_C1650.html" TargetMode="External"/><Relationship Id="rId50" Type="http://schemas.openxmlformats.org/officeDocument/2006/relationships/hyperlink" Target="https://lcsc.com/product-detail/Inductors-SMD_FH-BK-Guangdong-Fenghua-Bangke-Elec-BKW0805UC2N7JGT_C98530.html" TargetMode="External"/><Relationship Id="rId55" Type="http://schemas.openxmlformats.org/officeDocument/2006/relationships/hyperlink" Target="https://www.verical.com/pd/microchip-technology-interface---usb-power-switch-MIC2004-0-5YM5-TR-1152392?utm_term=MIC2004-0.5YM5-TR&amp;utm_source=digipart&amp;utm_medium=aggregator&amp;utm_campaign=digipart_2018&amp;utm_content=inv_listing" TargetMode="External"/><Relationship Id="rId7" Type="http://schemas.openxmlformats.org/officeDocument/2006/relationships/hyperlink" Target="https://lcsc.com/brand-detail/897.html" TargetMode="External"/><Relationship Id="rId2" Type="http://schemas.openxmlformats.org/officeDocument/2006/relationships/hyperlink" Target="https://www.digikey.com/en/supplier-centers/murata-electronics" TargetMode="External"/><Relationship Id="rId16" Type="http://schemas.openxmlformats.org/officeDocument/2006/relationships/hyperlink" Target="https://lcsc.com/product-detail/Multilayer-Ceramic-Capacitors-MLCC-SMD-SMT_Murata-Electronics-GRM033R61E104KE14D_C76939.html" TargetMode="External"/><Relationship Id="rId29" Type="http://schemas.openxmlformats.org/officeDocument/2006/relationships/hyperlink" Target="https://lcsc.com/product-detail/Chip-Resistor-Surface-Mount_Ever-Ohms-Tech-CR0201F10K0Q15Z_C881217.html" TargetMode="External"/><Relationship Id="rId11" Type="http://schemas.openxmlformats.org/officeDocument/2006/relationships/hyperlink" Target="https://lcsc.com/brand-detail/99.html" TargetMode="External"/><Relationship Id="rId24" Type="http://schemas.openxmlformats.org/officeDocument/2006/relationships/hyperlink" Target="https://lcsc.com/product-detail/Light-Emitting-Diodes-LED_Everlight-Elec-16-213-GHC-YR1S1-3T_C74338.html" TargetMode="External"/><Relationship Id="rId32" Type="http://schemas.openxmlformats.org/officeDocument/2006/relationships/hyperlink" Target="https://lcsc.com/product-detail/Chip-Resistor-Surface-Mount_UNI-ROYAL-Uniroyal-Elec-0201WMF1404TEE_C423737.html" TargetMode="External"/><Relationship Id="rId37" Type="http://schemas.openxmlformats.org/officeDocument/2006/relationships/hyperlink" Target="https://lcsc.com/product-detail/Chip-Resistor-Surface-Mount_UNI-ROYAL-Uniroyal-Elec-0201WMF1332TEE_C423749.html" TargetMode="External"/><Relationship Id="rId40" Type="http://schemas.openxmlformats.org/officeDocument/2006/relationships/hyperlink" Target="https://lcsc.com/product-detail/Chip-Resistor-Surface-Mount_KOA-Speer-Elec-RK73H1HTTC4321F_C369015.html" TargetMode="External"/><Relationship Id="rId45" Type="http://schemas.openxmlformats.org/officeDocument/2006/relationships/hyperlink" Target="https://lcsc.com/product-detail/Linear-Voltage-Regulators-LDO_Diodes-Incorporated-AP7361C-33FGE-7_C151007.html" TargetMode="External"/><Relationship Id="rId53" Type="http://schemas.openxmlformats.org/officeDocument/2006/relationships/hyperlink" Target="https://www.win-source.net/rf-antennas-2450at18a100e.html" TargetMode="External"/><Relationship Id="rId58" Type="http://schemas.openxmlformats.org/officeDocument/2006/relationships/hyperlink" Target="https://www.onlinecomponents.com/en/microchip-tech/at42qt1011mahr-49778133.html?utm_source=digipart&amp;utm_medium=referral&amp;ref=digipartFeed&amp;utm_term=AT42QT1011-MAHR" TargetMode="External"/><Relationship Id="rId5" Type="http://schemas.openxmlformats.org/officeDocument/2006/relationships/hyperlink" Target="https://lcsc.com/brand-detail/296.html" TargetMode="External"/><Relationship Id="rId19" Type="http://schemas.openxmlformats.org/officeDocument/2006/relationships/hyperlink" Target="https://lcsc.com/product-detail/Multilayer-Ceramic-Capacitors-MLCC-SMD-SMT_Samsung-Electro-Mechanics-CL21A226MOQNNNE_C98190.html" TargetMode="External"/><Relationship Id="rId4" Type="http://schemas.openxmlformats.org/officeDocument/2006/relationships/hyperlink" Target="https://lcsc.com/brand-detail/99.html" TargetMode="External"/><Relationship Id="rId9" Type="http://schemas.openxmlformats.org/officeDocument/2006/relationships/hyperlink" Target="https://lcsc.com/brand-detail/99.html" TargetMode="External"/><Relationship Id="rId14" Type="http://schemas.openxmlformats.org/officeDocument/2006/relationships/hyperlink" Target="https://www.digikey.com/en/supplier-centers/murata-electronics" TargetMode="External"/><Relationship Id="rId22" Type="http://schemas.openxmlformats.org/officeDocument/2006/relationships/hyperlink" Target="https://lcsc.com/product-detail/Multilayer-Ceramic-Capacitors-MLCC-SMD-SMT_Murata-Electronics-GRM033R61C473KE84D_C88917.html" TargetMode="External"/><Relationship Id="rId27" Type="http://schemas.openxmlformats.org/officeDocument/2006/relationships/hyperlink" Target="https://lcsc.com/product-detail/Digital-Transistors_ROHM-Semicon-UMH3NTN_C123008.html" TargetMode="External"/><Relationship Id="rId30" Type="http://schemas.openxmlformats.org/officeDocument/2006/relationships/hyperlink" Target="https://lcsc.com/product-detail/Chip-Resistor-Surface-Mount_YAGEO-AC0201JR-071K2L_C144824.html" TargetMode="External"/><Relationship Id="rId35" Type="http://schemas.openxmlformats.org/officeDocument/2006/relationships/hyperlink" Target="https://lcsc.com/product-detail/Chip-Resistor-Surface-Mount_UNI-ROYAL-Uniroyal-Elec-0201WMJ0133TEE_C423382.html" TargetMode="External"/><Relationship Id="rId43" Type="http://schemas.openxmlformats.org/officeDocument/2006/relationships/hyperlink" Target="https://lcsc.com/product-detail/SRAM_Lyontek-Inc-LY68L6400SLIT_C261881.html" TargetMode="External"/><Relationship Id="rId48" Type="http://schemas.openxmlformats.org/officeDocument/2006/relationships/hyperlink" Target="https://lcsc.com/product-detail/Multilayer-Ceramic-Capacitors-MLCC-SMD-SMT_FH-Guangdong-Fenghua-Advanced-Tech-0603CG2R7C500NT_C95180.html" TargetMode="External"/><Relationship Id="rId56" Type="http://schemas.openxmlformats.org/officeDocument/2006/relationships/hyperlink" Target="https://www.verical.com/pd/nexperia-rectifier-pmeg3010ber115-3236104" TargetMode="External"/><Relationship Id="rId8" Type="http://schemas.openxmlformats.org/officeDocument/2006/relationships/hyperlink" Target="https://lcsc.com/brand-detail/11667.html" TargetMode="External"/><Relationship Id="rId51" Type="http://schemas.openxmlformats.org/officeDocument/2006/relationships/hyperlink" Target="https://lcsc.com/product-detail/Chip-Resistor-Surface-Mount_UNI-ROYAL-Uniroyal-Elec-0201WMF9532TCE_C270678.html" TargetMode="External"/><Relationship Id="rId3" Type="http://schemas.openxmlformats.org/officeDocument/2006/relationships/hyperlink" Target="https://lcsc.com/brand-detail/79.html" TargetMode="External"/><Relationship Id="rId12" Type="http://schemas.openxmlformats.org/officeDocument/2006/relationships/hyperlink" Target="https://lcsc.com/brand-detail/512.html" TargetMode="External"/><Relationship Id="rId17" Type="http://schemas.openxmlformats.org/officeDocument/2006/relationships/hyperlink" Target="https://lcsc.com/product-detail/Multilayer-Ceramic-Capacitors-MLCC-SMD-SMT_Murata-Electronics-GRM155R61A106ME44D_C77000.html" TargetMode="External"/><Relationship Id="rId25" Type="http://schemas.openxmlformats.org/officeDocument/2006/relationships/hyperlink" Target="https://lcsc.com/product-detail/Power-Inductors_COILMX-MS0420-100M_C380158.html" TargetMode="External"/><Relationship Id="rId33" Type="http://schemas.openxmlformats.org/officeDocument/2006/relationships/hyperlink" Target="https://lcsc.com/product-detail/Chip-Resistor-Surface-Mount_UNI-ROYAL-Uniroyal-Elec-0201WMF7152TEE_C516473.html" TargetMode="External"/><Relationship Id="rId38" Type="http://schemas.openxmlformats.org/officeDocument/2006/relationships/hyperlink" Target="https://lcsc.com/product-detail/NTC-Thermistors_Murata-Electronics-NCP03XH103F05RL_C98098.html" TargetMode="External"/><Relationship Id="rId46" Type="http://schemas.openxmlformats.org/officeDocument/2006/relationships/hyperlink" Target="https://lcsc.com/product-detail/RF-Connectors-Coaxial-Connectors_HRS-Hirose-U-FL-R-SMT-1-80_C88374.html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lcsc.com/product-detail/Multilayer-Ceramic-Capacitors-MLCC-SMD-SMT_Samsung-Electro-Mechanics-CL05A475MO5NUNC_C318563.html" TargetMode="External"/><Relationship Id="rId41" Type="http://schemas.openxmlformats.org/officeDocument/2006/relationships/hyperlink" Target="https://lcsc.com/product-detail/Tactile-Switches_Omron-Electronics-B3U-1000P_C231329.html" TargetMode="External"/><Relationship Id="rId54" Type="http://schemas.openxmlformats.org/officeDocument/2006/relationships/hyperlink" Target="https://www.win-source.net/silergy-corp-sy7304dbc.html" TargetMode="External"/><Relationship Id="rId1" Type="http://schemas.openxmlformats.org/officeDocument/2006/relationships/hyperlink" Target="https://www.digikey.com/en/supplier-centers/murata-electronics" TargetMode="External"/><Relationship Id="rId6" Type="http://schemas.openxmlformats.org/officeDocument/2006/relationships/hyperlink" Target="https://lcsc.com/brand-detail/488.html" TargetMode="External"/><Relationship Id="rId15" Type="http://schemas.openxmlformats.org/officeDocument/2006/relationships/hyperlink" Target="https://www.hyte.pro/" TargetMode="External"/><Relationship Id="rId23" Type="http://schemas.openxmlformats.org/officeDocument/2006/relationships/hyperlink" Target="https://lcsc.com/product-detail/Schottky-Barrier-Diodes-SBD_Nexperia-PMEG2010ET-215_C282564.html" TargetMode="External"/><Relationship Id="rId28" Type="http://schemas.openxmlformats.org/officeDocument/2006/relationships/hyperlink" Target="https://lcsc.com/product-detail/MOSFETs_Diodes-Incorporated-ZVN3310FTA_C110533.html" TargetMode="External"/><Relationship Id="rId36" Type="http://schemas.openxmlformats.org/officeDocument/2006/relationships/hyperlink" Target="https://lcsc.com/product-detail/Chip-Resistor-Surface-Mount_YAGEO-RC0201FR-071KL_C138165.html" TargetMode="External"/><Relationship Id="rId49" Type="http://schemas.openxmlformats.org/officeDocument/2006/relationships/hyperlink" Target="https://lcsc.com/product-detail/Multilayer-Ceramic-Capacitors-MLCC-SMD-SMT_Samsung-Electro-Mechanics-CL10A226MP8NUNE_C86295.html" TargetMode="External"/><Relationship Id="rId57" Type="http://schemas.openxmlformats.org/officeDocument/2006/relationships/hyperlink" Target="https://lcsc.com/search?q=BQ25303JRTER" TargetMode="External"/><Relationship Id="rId10" Type="http://schemas.openxmlformats.org/officeDocument/2006/relationships/hyperlink" Target="https://lcsc.com/brand-detail/99.html" TargetMode="External"/><Relationship Id="rId31" Type="http://schemas.openxmlformats.org/officeDocument/2006/relationships/hyperlink" Target="https://lcsc.com/product-detail/Chip-Resistor-Surface-Mount_YAGEO-RC0201FR-0747KL_C138139.html" TargetMode="External"/><Relationship Id="rId44" Type="http://schemas.openxmlformats.org/officeDocument/2006/relationships/hyperlink" Target="https://lcsc.com/product-detail/DC-DC-Converters_Axelite-Tech-AX5523CA_C157694.html" TargetMode="External"/><Relationship Id="rId52" Type="http://schemas.openxmlformats.org/officeDocument/2006/relationships/hyperlink" Target="https://www.win-source.net/tdk-corporation-icm-206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abSelected="1" topLeftCell="A6" zoomScale="85" zoomScaleNormal="85" workbookViewId="0">
      <selection activeCell="B16" sqref="B16:F19"/>
    </sheetView>
  </sheetViews>
  <sheetFormatPr defaultRowHeight="15" x14ac:dyDescent="0.25"/>
  <cols>
    <col min="1" max="1" width="6.140625" style="4" bestFit="1" customWidth="1"/>
    <col min="2" max="2" width="16.7109375" style="4" customWidth="1"/>
    <col min="3" max="3" width="96.5703125" style="4" bestFit="1" customWidth="1"/>
    <col min="4" max="4" width="16.7109375" style="4" customWidth="1"/>
    <col min="5" max="5" width="16" style="4" customWidth="1"/>
    <col min="6" max="6" width="19" style="4" customWidth="1"/>
    <col min="7" max="7" width="29.140625" style="4" bestFit="1" customWidth="1"/>
    <col min="8" max="8" width="20.28515625" style="4" bestFit="1" customWidth="1"/>
    <col min="9" max="9" width="20" style="4" bestFit="1" customWidth="1"/>
    <col min="10" max="10" width="20.42578125" style="4" bestFit="1" customWidth="1"/>
    <col min="11" max="11" width="9.140625" style="4"/>
    <col min="12" max="12" width="11.7109375" style="4" bestFit="1" customWidth="1"/>
    <col min="13" max="13" width="11.5703125" style="4" bestFit="1" customWidth="1"/>
    <col min="14" max="14" width="9.140625" style="4"/>
    <col min="15" max="15" width="18.7109375" style="4" bestFit="1" customWidth="1"/>
    <col min="16" max="16" width="13.7109375" style="4" bestFit="1" customWidth="1"/>
    <col min="17" max="17" width="29.7109375" style="4" customWidth="1"/>
    <col min="18" max="18" width="12.5703125" style="4" bestFit="1" customWidth="1"/>
    <col min="19" max="19" width="29.85546875" style="4" bestFit="1" customWidth="1"/>
    <col min="20" max="16384" width="9.140625" style="4"/>
  </cols>
  <sheetData>
    <row r="1" spans="1:20" ht="16.5" thickBot="1" x14ac:dyDescent="0.3">
      <c r="A1" s="39" t="s">
        <v>259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</row>
    <row r="2" spans="1:20" ht="16.5" thickBot="1" x14ac:dyDescent="0.3">
      <c r="A2" s="1" t="s">
        <v>0</v>
      </c>
      <c r="B2" s="21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255</v>
      </c>
      <c r="I2" s="30" t="s">
        <v>7</v>
      </c>
      <c r="J2" s="30" t="s">
        <v>8</v>
      </c>
      <c r="K2" s="30" t="s">
        <v>256</v>
      </c>
      <c r="L2" s="30" t="s">
        <v>9</v>
      </c>
      <c r="M2" s="30" t="s">
        <v>257</v>
      </c>
      <c r="N2" s="30" t="s">
        <v>258</v>
      </c>
      <c r="O2" s="30" t="s">
        <v>10</v>
      </c>
      <c r="P2" s="30" t="s">
        <v>11</v>
      </c>
      <c r="Q2" s="30" t="s">
        <v>12</v>
      </c>
      <c r="R2" s="30" t="s">
        <v>13</v>
      </c>
      <c r="S2" s="30" t="s">
        <v>14</v>
      </c>
    </row>
    <row r="3" spans="1:20" ht="15.75" thickBot="1" x14ac:dyDescent="0.3">
      <c r="A3" s="5">
        <v>1</v>
      </c>
      <c r="B3" s="35" t="s">
        <v>15</v>
      </c>
      <c r="C3" s="8" t="s">
        <v>16</v>
      </c>
      <c r="D3" s="9" t="s">
        <v>17</v>
      </c>
      <c r="E3" s="9" t="s">
        <v>18</v>
      </c>
      <c r="F3" s="9" t="s">
        <v>19</v>
      </c>
      <c r="G3" s="10" t="s">
        <v>20</v>
      </c>
      <c r="H3" s="11" t="s">
        <v>261</v>
      </c>
      <c r="I3" s="10"/>
      <c r="J3" s="9" t="s">
        <v>21</v>
      </c>
      <c r="K3" s="10">
        <v>150</v>
      </c>
      <c r="L3" s="11">
        <v>24</v>
      </c>
      <c r="M3" s="10">
        <f>L3*5</f>
        <v>120</v>
      </c>
      <c r="N3" s="6" t="s">
        <v>260</v>
      </c>
      <c r="O3" s="34">
        <v>6.0000000000000001E-3</v>
      </c>
      <c r="P3" s="34">
        <f>O3*L3</f>
        <v>0.14400000000000002</v>
      </c>
      <c r="Q3" s="34">
        <v>6.0000000000000001E-3</v>
      </c>
      <c r="R3" s="12">
        <f>Q3*K3</f>
        <v>0.9</v>
      </c>
      <c r="S3" s="10"/>
      <c r="T3" s="7"/>
    </row>
    <row r="4" spans="1:20" ht="15.75" thickBot="1" x14ac:dyDescent="0.3">
      <c r="A4" s="2">
        <f>A3+1</f>
        <v>2</v>
      </c>
      <c r="B4" s="35"/>
      <c r="C4" s="8" t="s">
        <v>22</v>
      </c>
      <c r="D4" s="9" t="s">
        <v>23</v>
      </c>
      <c r="E4" s="9" t="s">
        <v>24</v>
      </c>
      <c r="F4" s="9" t="s">
        <v>25</v>
      </c>
      <c r="G4" s="10" t="s">
        <v>26</v>
      </c>
      <c r="H4" s="11" t="s">
        <v>292</v>
      </c>
      <c r="I4" s="11" t="s">
        <v>293</v>
      </c>
      <c r="J4" s="9" t="s">
        <v>27</v>
      </c>
      <c r="K4" s="10">
        <v>50</v>
      </c>
      <c r="L4" s="11">
        <v>1</v>
      </c>
      <c r="M4" s="10">
        <f t="shared" ref="M4:M52" si="0">L4*5</f>
        <v>5</v>
      </c>
      <c r="N4" s="6" t="s">
        <v>260</v>
      </c>
      <c r="O4" s="34">
        <v>5.0000000000000001E-3</v>
      </c>
      <c r="P4" s="34">
        <f t="shared" ref="O4:Q48" si="1">O4*L4</f>
        <v>5.0000000000000001E-3</v>
      </c>
      <c r="Q4" s="34">
        <v>5.0000000000000001E-3</v>
      </c>
      <c r="R4" s="12">
        <f t="shared" ref="R4:R47" si="2">Q4*K4</f>
        <v>0.25</v>
      </c>
      <c r="S4" s="10"/>
      <c r="T4" s="7"/>
    </row>
    <row r="5" spans="1:20" ht="15.75" thickBot="1" x14ac:dyDescent="0.3">
      <c r="A5" s="2">
        <f t="shared" ref="A5:A54" si="3">A4+1</f>
        <v>3</v>
      </c>
      <c r="B5" s="35"/>
      <c r="C5" s="8" t="s">
        <v>28</v>
      </c>
      <c r="D5" s="9" t="s">
        <v>29</v>
      </c>
      <c r="E5" s="9" t="s">
        <v>24</v>
      </c>
      <c r="F5" s="9" t="s">
        <v>30</v>
      </c>
      <c r="G5" s="10" t="s">
        <v>26</v>
      </c>
      <c r="H5" s="11" t="s">
        <v>294</v>
      </c>
      <c r="I5" s="11" t="s">
        <v>295</v>
      </c>
      <c r="J5" s="9" t="s">
        <v>31</v>
      </c>
      <c r="K5" s="10">
        <v>50</v>
      </c>
      <c r="L5" s="11">
        <v>1</v>
      </c>
      <c r="M5" s="10">
        <f t="shared" si="0"/>
        <v>5</v>
      </c>
      <c r="N5" s="6" t="s">
        <v>260</v>
      </c>
      <c r="O5" s="34">
        <v>4.8999999999999998E-3</v>
      </c>
      <c r="P5" s="34">
        <f t="shared" si="1"/>
        <v>4.8999999999999998E-3</v>
      </c>
      <c r="Q5" s="34">
        <v>4.8999999999999998E-3</v>
      </c>
      <c r="R5" s="12">
        <f t="shared" si="2"/>
        <v>0.245</v>
      </c>
      <c r="S5" s="10"/>
      <c r="T5" s="7"/>
    </row>
    <row r="6" spans="1:20" ht="15.75" thickBot="1" x14ac:dyDescent="0.3">
      <c r="A6" s="2">
        <f t="shared" si="3"/>
        <v>4</v>
      </c>
      <c r="B6" s="35"/>
      <c r="C6" s="8" t="s">
        <v>32</v>
      </c>
      <c r="D6" s="9" t="s">
        <v>33</v>
      </c>
      <c r="E6" s="9" t="s">
        <v>34</v>
      </c>
      <c r="F6" s="9" t="s">
        <v>35</v>
      </c>
      <c r="G6" s="10" t="s">
        <v>20</v>
      </c>
      <c r="H6" s="11" t="s">
        <v>262</v>
      </c>
      <c r="I6" s="10"/>
      <c r="J6" s="9" t="s">
        <v>36</v>
      </c>
      <c r="K6" s="10">
        <v>40</v>
      </c>
      <c r="L6" s="11">
        <v>6</v>
      </c>
      <c r="M6" s="10">
        <f t="shared" si="0"/>
        <v>30</v>
      </c>
      <c r="N6" s="6" t="s">
        <v>260</v>
      </c>
      <c r="O6" s="34">
        <v>2.7300000000000001E-2</v>
      </c>
      <c r="P6" s="34">
        <f t="shared" si="1"/>
        <v>0.1638</v>
      </c>
      <c r="Q6" s="34">
        <v>2.7300000000000001E-2</v>
      </c>
      <c r="R6" s="12">
        <f t="shared" si="2"/>
        <v>1.0920000000000001</v>
      </c>
      <c r="S6" s="10"/>
      <c r="T6" s="7"/>
    </row>
    <row r="7" spans="1:20" ht="15.75" thickBot="1" x14ac:dyDescent="0.3">
      <c r="A7" s="2">
        <f t="shared" si="3"/>
        <v>5</v>
      </c>
      <c r="B7" s="35"/>
      <c r="C7" s="8" t="s">
        <v>37</v>
      </c>
      <c r="D7" s="9" t="s">
        <v>38</v>
      </c>
      <c r="E7" s="9" t="s">
        <v>18</v>
      </c>
      <c r="F7" s="9" t="s">
        <v>39</v>
      </c>
      <c r="G7" s="10" t="s">
        <v>40</v>
      </c>
      <c r="H7" s="11" t="s">
        <v>263</v>
      </c>
      <c r="I7" s="10"/>
      <c r="J7" s="9" t="s">
        <v>41</v>
      </c>
      <c r="K7" s="10">
        <v>30</v>
      </c>
      <c r="L7" s="11">
        <v>5</v>
      </c>
      <c r="M7" s="10">
        <f t="shared" si="0"/>
        <v>25</v>
      </c>
      <c r="N7" s="6" t="s">
        <v>260</v>
      </c>
      <c r="O7" s="34">
        <v>4.9099999999999998E-2</v>
      </c>
      <c r="P7" s="34">
        <f t="shared" si="1"/>
        <v>0.2455</v>
      </c>
      <c r="Q7" s="34">
        <v>4.9099999999999998E-2</v>
      </c>
      <c r="R7" s="12">
        <f t="shared" si="2"/>
        <v>1.4729999999999999</v>
      </c>
      <c r="S7" s="10"/>
      <c r="T7" s="7"/>
    </row>
    <row r="8" spans="1:20" ht="15.75" thickBot="1" x14ac:dyDescent="0.3">
      <c r="A8" s="2">
        <f t="shared" si="3"/>
        <v>6</v>
      </c>
      <c r="B8" s="35"/>
      <c r="C8" s="8" t="s">
        <v>42</v>
      </c>
      <c r="D8" s="9" t="s">
        <v>43</v>
      </c>
      <c r="E8" s="9" t="s">
        <v>44</v>
      </c>
      <c r="F8" s="9" t="s">
        <v>45</v>
      </c>
      <c r="G8" s="10" t="s">
        <v>40</v>
      </c>
      <c r="H8" s="11" t="s">
        <v>264</v>
      </c>
      <c r="I8" s="10"/>
      <c r="J8" s="9" t="s">
        <v>46</v>
      </c>
      <c r="K8" s="10">
        <v>10</v>
      </c>
      <c r="L8" s="11">
        <v>1</v>
      </c>
      <c r="M8" s="10">
        <f t="shared" si="0"/>
        <v>5</v>
      </c>
      <c r="N8" s="6" t="s">
        <v>260</v>
      </c>
      <c r="O8" s="34">
        <v>4.07E-2</v>
      </c>
      <c r="P8" s="34">
        <f t="shared" si="1"/>
        <v>4.07E-2</v>
      </c>
      <c r="Q8" s="34">
        <v>4.07E-2</v>
      </c>
      <c r="R8" s="12">
        <f t="shared" si="2"/>
        <v>0.40700000000000003</v>
      </c>
      <c r="S8" s="10"/>
      <c r="T8" s="7"/>
    </row>
    <row r="9" spans="1:20" ht="15.75" thickBot="1" x14ac:dyDescent="0.3">
      <c r="A9" s="2">
        <f t="shared" si="3"/>
        <v>7</v>
      </c>
      <c r="B9" s="35"/>
      <c r="C9" s="8" t="s">
        <v>47</v>
      </c>
      <c r="D9" s="9" t="s">
        <v>48</v>
      </c>
      <c r="E9" s="9" t="s">
        <v>24</v>
      </c>
      <c r="F9" s="9" t="s">
        <v>49</v>
      </c>
      <c r="G9" s="10" t="s">
        <v>20</v>
      </c>
      <c r="H9" s="11" t="s">
        <v>296</v>
      </c>
      <c r="I9" s="11" t="s">
        <v>297</v>
      </c>
      <c r="J9" s="9" t="s">
        <v>46</v>
      </c>
      <c r="K9" s="10">
        <v>20</v>
      </c>
      <c r="L9" s="11">
        <v>3</v>
      </c>
      <c r="M9" s="10">
        <f t="shared" si="0"/>
        <v>15</v>
      </c>
      <c r="N9" s="6" t="s">
        <v>260</v>
      </c>
      <c r="O9" s="34">
        <v>2.5100000000000001E-2</v>
      </c>
      <c r="P9" s="34">
        <f t="shared" si="1"/>
        <v>7.5300000000000006E-2</v>
      </c>
      <c r="Q9" s="34">
        <v>2.5100000000000001E-2</v>
      </c>
      <c r="R9" s="12">
        <f t="shared" si="2"/>
        <v>0.502</v>
      </c>
      <c r="S9" s="10"/>
      <c r="T9" s="7"/>
    </row>
    <row r="10" spans="1:20" ht="15.75" thickBot="1" x14ac:dyDescent="0.3">
      <c r="A10" s="2">
        <f t="shared" si="3"/>
        <v>8</v>
      </c>
      <c r="B10" s="35"/>
      <c r="C10" s="8" t="s">
        <v>50</v>
      </c>
      <c r="D10" s="9" t="s">
        <v>51</v>
      </c>
      <c r="E10" s="9" t="s">
        <v>34</v>
      </c>
      <c r="F10" s="9" t="s">
        <v>52</v>
      </c>
      <c r="G10" s="10" t="s">
        <v>40</v>
      </c>
      <c r="H10" s="31" t="s">
        <v>265</v>
      </c>
      <c r="I10" s="10"/>
      <c r="J10" s="9" t="s">
        <v>53</v>
      </c>
      <c r="K10" s="10">
        <v>20</v>
      </c>
      <c r="L10" s="11">
        <v>4</v>
      </c>
      <c r="M10" s="10">
        <f t="shared" si="0"/>
        <v>20</v>
      </c>
      <c r="N10" s="6" t="s">
        <v>260</v>
      </c>
      <c r="O10" s="34">
        <v>7.1800000000000003E-2</v>
      </c>
      <c r="P10" s="34">
        <f t="shared" si="1"/>
        <v>0.28720000000000001</v>
      </c>
      <c r="Q10" s="34">
        <v>7.1800000000000003E-2</v>
      </c>
      <c r="R10" s="12">
        <f t="shared" si="2"/>
        <v>1.4359999999999999</v>
      </c>
      <c r="S10" s="10"/>
      <c r="T10" s="7"/>
    </row>
    <row r="11" spans="1:20" ht="15.75" thickBot="1" x14ac:dyDescent="0.3">
      <c r="A11" s="2">
        <f t="shared" si="3"/>
        <v>9</v>
      </c>
      <c r="B11" s="35"/>
      <c r="C11" s="8" t="s">
        <v>54</v>
      </c>
      <c r="D11" s="9" t="s">
        <v>55</v>
      </c>
      <c r="E11" s="9" t="s">
        <v>18</v>
      </c>
      <c r="F11" s="9" t="s">
        <v>56</v>
      </c>
      <c r="G11" s="10" t="s">
        <v>20</v>
      </c>
      <c r="H11" s="11" t="s">
        <v>266</v>
      </c>
      <c r="I11" s="10"/>
      <c r="J11" s="9" t="s">
        <v>57</v>
      </c>
      <c r="K11" s="10">
        <v>20</v>
      </c>
      <c r="L11" s="11">
        <v>2</v>
      </c>
      <c r="M11" s="10">
        <f t="shared" si="0"/>
        <v>10</v>
      </c>
      <c r="N11" s="6" t="s">
        <v>260</v>
      </c>
      <c r="O11" s="34">
        <v>2.69E-2</v>
      </c>
      <c r="P11" s="34">
        <f t="shared" si="1"/>
        <v>5.3800000000000001E-2</v>
      </c>
      <c r="Q11" s="34">
        <v>2.69E-2</v>
      </c>
      <c r="R11" s="12">
        <f t="shared" si="2"/>
        <v>0.53800000000000003</v>
      </c>
      <c r="S11" s="10"/>
      <c r="T11" s="7"/>
    </row>
    <row r="12" spans="1:20" ht="15.75" thickBot="1" x14ac:dyDescent="0.3">
      <c r="A12" s="2">
        <f t="shared" si="3"/>
        <v>10</v>
      </c>
      <c r="B12" s="35"/>
      <c r="C12" s="28" t="s">
        <v>58</v>
      </c>
      <c r="D12" s="29" t="s">
        <v>59</v>
      </c>
      <c r="E12" s="29" t="s">
        <v>18</v>
      </c>
      <c r="F12" s="29" t="s">
        <v>60</v>
      </c>
      <c r="G12" s="26" t="s">
        <v>20</v>
      </c>
      <c r="H12" s="32" t="s">
        <v>267</v>
      </c>
      <c r="I12" s="26"/>
      <c r="J12" s="29" t="s">
        <v>61</v>
      </c>
      <c r="K12" s="10">
        <v>50</v>
      </c>
      <c r="L12" s="14">
        <v>1</v>
      </c>
      <c r="M12" s="13">
        <f t="shared" si="0"/>
        <v>5</v>
      </c>
      <c r="N12" s="27" t="s">
        <v>260</v>
      </c>
      <c r="O12" s="34">
        <v>6.8999999999999999E-3</v>
      </c>
      <c r="P12" s="34">
        <f t="shared" si="1"/>
        <v>6.8999999999999999E-3</v>
      </c>
      <c r="Q12" s="34">
        <v>6.8999999999999999E-3</v>
      </c>
      <c r="R12" s="12">
        <f t="shared" si="2"/>
        <v>0.34499999999999997</v>
      </c>
      <c r="S12" s="10"/>
      <c r="T12" s="7"/>
    </row>
    <row r="13" spans="1:20" ht="15.75" thickBot="1" x14ac:dyDescent="0.3">
      <c r="A13" s="2">
        <f t="shared" si="3"/>
        <v>11</v>
      </c>
      <c r="B13" s="35" t="s">
        <v>62</v>
      </c>
      <c r="C13" s="8" t="s">
        <v>63</v>
      </c>
      <c r="D13" s="9" t="s">
        <v>64</v>
      </c>
      <c r="E13" s="9" t="s">
        <v>65</v>
      </c>
      <c r="F13" s="9" t="s">
        <v>66</v>
      </c>
      <c r="G13" s="10" t="s">
        <v>67</v>
      </c>
      <c r="H13" s="10"/>
      <c r="I13" s="10" t="s">
        <v>305</v>
      </c>
      <c r="J13" s="9" t="s">
        <v>66</v>
      </c>
      <c r="K13" s="10">
        <v>114</v>
      </c>
      <c r="L13" s="11">
        <v>1</v>
      </c>
      <c r="M13" s="10">
        <f t="shared" si="0"/>
        <v>5</v>
      </c>
      <c r="N13" s="6" t="s">
        <v>304</v>
      </c>
      <c r="O13" s="34">
        <v>6.1400000000000003E-2</v>
      </c>
      <c r="P13" s="34">
        <f t="shared" si="1"/>
        <v>6.1400000000000003E-2</v>
      </c>
      <c r="Q13" s="34">
        <v>6.1400000000000003E-2</v>
      </c>
      <c r="R13" s="12">
        <f t="shared" si="2"/>
        <v>6.9996</v>
      </c>
      <c r="S13" s="10"/>
      <c r="T13" s="7"/>
    </row>
    <row r="14" spans="1:20" ht="15.75" thickBot="1" x14ac:dyDescent="0.3">
      <c r="A14" s="2">
        <f t="shared" si="3"/>
        <v>12</v>
      </c>
      <c r="B14" s="35"/>
      <c r="C14" s="8" t="s">
        <v>68</v>
      </c>
      <c r="D14" s="9" t="s">
        <v>69</v>
      </c>
      <c r="E14" s="9" t="s">
        <v>70</v>
      </c>
      <c r="F14" s="9" t="s">
        <v>70</v>
      </c>
      <c r="G14" s="10" t="s">
        <v>67</v>
      </c>
      <c r="H14" s="31" t="s">
        <v>268</v>
      </c>
      <c r="I14" s="10"/>
      <c r="J14" s="9" t="s">
        <v>70</v>
      </c>
      <c r="K14" s="10">
        <v>5</v>
      </c>
      <c r="L14" s="11">
        <v>1</v>
      </c>
      <c r="M14" s="10">
        <f t="shared" si="0"/>
        <v>5</v>
      </c>
      <c r="N14" s="6" t="s">
        <v>260</v>
      </c>
      <c r="O14" s="34">
        <v>0.1825</v>
      </c>
      <c r="P14" s="34">
        <f t="shared" si="1"/>
        <v>0.1825</v>
      </c>
      <c r="Q14" s="34">
        <v>0.1825</v>
      </c>
      <c r="R14" s="12">
        <f t="shared" si="2"/>
        <v>0.91249999999999998</v>
      </c>
      <c r="S14" s="10"/>
      <c r="T14" s="7"/>
    </row>
    <row r="15" spans="1:20" ht="15.75" thickBot="1" x14ac:dyDescent="0.3">
      <c r="A15" s="2">
        <f t="shared" si="3"/>
        <v>13</v>
      </c>
      <c r="B15" s="35"/>
      <c r="C15" s="8" t="s">
        <v>72</v>
      </c>
      <c r="D15" s="9" t="s">
        <v>73</v>
      </c>
      <c r="E15" s="9" t="s">
        <v>74</v>
      </c>
      <c r="F15" s="9" t="s">
        <v>75</v>
      </c>
      <c r="G15" s="10" t="s">
        <v>76</v>
      </c>
      <c r="H15" s="11" t="s">
        <v>269</v>
      </c>
      <c r="I15" s="10"/>
      <c r="J15" s="9" t="s">
        <v>75</v>
      </c>
      <c r="K15" s="10">
        <v>10</v>
      </c>
      <c r="L15" s="11">
        <v>2</v>
      </c>
      <c r="M15" s="10">
        <f t="shared" si="0"/>
        <v>10</v>
      </c>
      <c r="N15" s="6" t="s">
        <v>260</v>
      </c>
      <c r="O15" s="34">
        <v>7.5800000000000006E-2</v>
      </c>
      <c r="P15" s="34">
        <f t="shared" si="1"/>
        <v>0.15160000000000001</v>
      </c>
      <c r="Q15" s="34">
        <v>7.5800000000000006E-2</v>
      </c>
      <c r="R15" s="12">
        <f t="shared" si="2"/>
        <v>0.75800000000000001</v>
      </c>
      <c r="S15" s="10"/>
      <c r="T15" s="7"/>
    </row>
    <row r="16" spans="1:20" ht="15.75" thickBot="1" x14ac:dyDescent="0.3">
      <c r="A16" s="2">
        <f t="shared" si="3"/>
        <v>14</v>
      </c>
      <c r="B16" s="35" t="s">
        <v>77</v>
      </c>
      <c r="C16" s="8" t="s">
        <v>78</v>
      </c>
      <c r="D16" s="9" t="s">
        <v>79</v>
      </c>
      <c r="E16" s="9" t="s">
        <v>80</v>
      </c>
      <c r="F16" s="9" t="s">
        <v>80</v>
      </c>
      <c r="G16" s="10" t="s">
        <v>81</v>
      </c>
      <c r="H16" s="11" t="s">
        <v>298</v>
      </c>
      <c r="I16" s="11" t="s">
        <v>299</v>
      </c>
      <c r="J16" s="9" t="s">
        <v>82</v>
      </c>
      <c r="K16" s="10">
        <v>10</v>
      </c>
      <c r="L16" s="11">
        <v>1</v>
      </c>
      <c r="M16" s="10">
        <f t="shared" si="0"/>
        <v>5</v>
      </c>
      <c r="N16" s="6" t="s">
        <v>260</v>
      </c>
      <c r="O16" s="34">
        <v>5.2600000000000001E-2</v>
      </c>
      <c r="P16" s="34">
        <f t="shared" si="1"/>
        <v>5.2600000000000001E-2</v>
      </c>
      <c r="Q16" s="34">
        <v>5.2600000000000001E-2</v>
      </c>
      <c r="R16" s="12">
        <f t="shared" si="2"/>
        <v>0.52600000000000002</v>
      </c>
      <c r="S16" s="10" t="s">
        <v>300</v>
      </c>
      <c r="T16" s="7"/>
    </row>
    <row r="17" spans="1:20" ht="15.75" thickBot="1" x14ac:dyDescent="0.3">
      <c r="A17" s="2">
        <f t="shared" si="3"/>
        <v>15</v>
      </c>
      <c r="B17" s="35"/>
      <c r="C17" s="8" t="s">
        <v>83</v>
      </c>
      <c r="D17" s="9" t="s">
        <v>84</v>
      </c>
      <c r="E17" s="9" t="s">
        <v>85</v>
      </c>
      <c r="F17" s="9" t="s">
        <v>85</v>
      </c>
      <c r="G17" s="10" t="s">
        <v>86</v>
      </c>
      <c r="H17" s="11" t="s">
        <v>270</v>
      </c>
      <c r="I17" s="10"/>
      <c r="J17" s="9" t="s">
        <v>87</v>
      </c>
      <c r="K17" s="10">
        <v>5</v>
      </c>
      <c r="L17" s="11">
        <v>1</v>
      </c>
      <c r="M17" s="10">
        <f t="shared" si="0"/>
        <v>5</v>
      </c>
      <c r="N17" s="6" t="s">
        <v>260</v>
      </c>
      <c r="O17" s="34">
        <v>0.27629999999999999</v>
      </c>
      <c r="P17" s="34">
        <f t="shared" si="1"/>
        <v>0.27629999999999999</v>
      </c>
      <c r="Q17" s="34">
        <v>0.27629999999999999</v>
      </c>
      <c r="R17" s="12">
        <f t="shared" si="2"/>
        <v>1.3815</v>
      </c>
      <c r="S17" s="10"/>
      <c r="T17" s="7"/>
    </row>
    <row r="18" spans="1:20" ht="15.75" thickBot="1" x14ac:dyDescent="0.3">
      <c r="A18" s="2">
        <f t="shared" si="3"/>
        <v>16</v>
      </c>
      <c r="B18" s="35"/>
      <c r="C18" s="8" t="s">
        <v>88</v>
      </c>
      <c r="D18" s="9" t="s">
        <v>89</v>
      </c>
      <c r="E18" s="9" t="s">
        <v>90</v>
      </c>
      <c r="F18" s="9" t="s">
        <v>90</v>
      </c>
      <c r="G18" s="10" t="s">
        <v>91</v>
      </c>
      <c r="H18" s="10"/>
      <c r="I18" s="10"/>
      <c r="J18" s="9" t="s">
        <v>92</v>
      </c>
      <c r="K18" s="10"/>
      <c r="L18" s="11">
        <v>1</v>
      </c>
      <c r="M18" s="10">
        <f t="shared" si="0"/>
        <v>5</v>
      </c>
      <c r="N18" s="15"/>
      <c r="O18" s="34"/>
      <c r="P18" s="34">
        <f t="shared" si="1"/>
        <v>0</v>
      </c>
      <c r="Q18" s="34"/>
      <c r="R18" s="12">
        <f t="shared" si="2"/>
        <v>0</v>
      </c>
      <c r="S18" s="10" t="s">
        <v>306</v>
      </c>
      <c r="T18" s="7"/>
    </row>
    <row r="19" spans="1:20" ht="15.75" thickBot="1" x14ac:dyDescent="0.3">
      <c r="A19" s="2">
        <f t="shared" si="3"/>
        <v>17</v>
      </c>
      <c r="B19" s="35"/>
      <c r="C19" s="8" t="s">
        <v>93</v>
      </c>
      <c r="D19" s="9" t="s">
        <v>94</v>
      </c>
      <c r="E19" s="9" t="s">
        <v>95</v>
      </c>
      <c r="F19" s="9" t="s">
        <v>96</v>
      </c>
      <c r="G19" s="10" t="s">
        <v>20</v>
      </c>
      <c r="H19" s="31" t="s">
        <v>271</v>
      </c>
      <c r="I19" s="10"/>
      <c r="J19" s="9" t="s">
        <v>97</v>
      </c>
      <c r="K19" s="10">
        <v>5</v>
      </c>
      <c r="L19" s="11">
        <v>1</v>
      </c>
      <c r="M19" s="10">
        <f t="shared" si="0"/>
        <v>5</v>
      </c>
      <c r="N19" s="6" t="s">
        <v>260</v>
      </c>
      <c r="O19" s="34">
        <v>0.1167</v>
      </c>
      <c r="P19" s="34">
        <f t="shared" si="1"/>
        <v>0.1167</v>
      </c>
      <c r="Q19" s="34">
        <v>0.1167</v>
      </c>
      <c r="R19" s="12">
        <f t="shared" si="2"/>
        <v>0.58350000000000002</v>
      </c>
      <c r="S19" s="10"/>
      <c r="T19" s="7"/>
    </row>
    <row r="20" spans="1:20" ht="15.75" thickBot="1" x14ac:dyDescent="0.3">
      <c r="A20" s="2">
        <f t="shared" si="3"/>
        <v>18</v>
      </c>
      <c r="B20" s="35" t="s">
        <v>98</v>
      </c>
      <c r="C20" s="8" t="s">
        <v>99</v>
      </c>
      <c r="D20" s="9" t="s">
        <v>100</v>
      </c>
      <c r="E20" s="9" t="s">
        <v>101</v>
      </c>
      <c r="F20" s="9" t="s">
        <v>102</v>
      </c>
      <c r="G20" s="10" t="s">
        <v>103</v>
      </c>
      <c r="H20" s="31" t="s">
        <v>272</v>
      </c>
      <c r="I20" s="10"/>
      <c r="J20" s="9" t="s">
        <v>102</v>
      </c>
      <c r="K20" s="10">
        <v>10</v>
      </c>
      <c r="L20" s="11">
        <v>1</v>
      </c>
      <c r="M20" s="10">
        <f t="shared" si="0"/>
        <v>5</v>
      </c>
      <c r="N20" s="6" t="s">
        <v>260</v>
      </c>
      <c r="O20" s="34">
        <v>7.3099999999999998E-2</v>
      </c>
      <c r="P20" s="34">
        <f t="shared" si="1"/>
        <v>7.3099999999999998E-2</v>
      </c>
      <c r="Q20" s="34">
        <v>7.3099999999999998E-2</v>
      </c>
      <c r="R20" s="12">
        <f t="shared" si="2"/>
        <v>0.73099999999999998</v>
      </c>
      <c r="S20" s="10" t="s">
        <v>71</v>
      </c>
      <c r="T20" s="7"/>
    </row>
    <row r="21" spans="1:20" ht="15.75" thickBot="1" x14ac:dyDescent="0.3">
      <c r="A21" s="2">
        <f t="shared" si="3"/>
        <v>19</v>
      </c>
      <c r="B21" s="35"/>
      <c r="C21" s="8" t="s">
        <v>104</v>
      </c>
      <c r="D21" s="9" t="s">
        <v>105</v>
      </c>
      <c r="E21" s="9" t="s">
        <v>106</v>
      </c>
      <c r="F21" s="9" t="s">
        <v>107</v>
      </c>
      <c r="G21" s="10" t="s">
        <v>108</v>
      </c>
      <c r="H21" s="31" t="s">
        <v>273</v>
      </c>
      <c r="I21" s="10"/>
      <c r="J21" s="9" t="s">
        <v>107</v>
      </c>
      <c r="K21" s="10">
        <v>5</v>
      </c>
      <c r="L21" s="11">
        <v>1</v>
      </c>
      <c r="M21" s="10">
        <f t="shared" si="0"/>
        <v>5</v>
      </c>
      <c r="N21" s="6" t="s">
        <v>260</v>
      </c>
      <c r="O21" s="34">
        <v>0.41299999999999998</v>
      </c>
      <c r="P21" s="34">
        <f t="shared" si="1"/>
        <v>0.41299999999999998</v>
      </c>
      <c r="Q21" s="34">
        <v>0.41299999999999998</v>
      </c>
      <c r="R21" s="12">
        <f t="shared" si="2"/>
        <v>2.0649999999999999</v>
      </c>
      <c r="S21" s="10"/>
      <c r="T21" s="7"/>
    </row>
    <row r="22" spans="1:20" ht="15.75" thickBot="1" x14ac:dyDescent="0.3">
      <c r="A22" s="2">
        <f t="shared" si="3"/>
        <v>20</v>
      </c>
      <c r="B22" s="35" t="s">
        <v>109</v>
      </c>
      <c r="C22" s="8" t="s">
        <v>110</v>
      </c>
      <c r="D22" s="9" t="s">
        <v>111</v>
      </c>
      <c r="E22" s="9" t="s">
        <v>112</v>
      </c>
      <c r="F22" s="9" t="s">
        <v>113</v>
      </c>
      <c r="G22" s="10" t="s">
        <v>114</v>
      </c>
      <c r="H22" s="11" t="s">
        <v>274</v>
      </c>
      <c r="I22" s="10"/>
      <c r="J22" s="9" t="s">
        <v>115</v>
      </c>
      <c r="K22" s="10">
        <v>100</v>
      </c>
      <c r="L22" s="11">
        <v>6</v>
      </c>
      <c r="M22" s="10">
        <f t="shared" si="0"/>
        <v>30</v>
      </c>
      <c r="N22" s="6" t="s">
        <v>260</v>
      </c>
      <c r="O22" s="34">
        <v>2.0999999999999999E-3</v>
      </c>
      <c r="P22" s="34">
        <f t="shared" si="1"/>
        <v>1.26E-2</v>
      </c>
      <c r="Q22" s="34">
        <v>2.0999999999999999E-3</v>
      </c>
      <c r="R22" s="12">
        <f t="shared" si="2"/>
        <v>0.21</v>
      </c>
      <c r="S22" s="10"/>
      <c r="T22" s="7"/>
    </row>
    <row r="23" spans="1:20" ht="15.75" thickBot="1" x14ac:dyDescent="0.3">
      <c r="A23" s="2">
        <f t="shared" si="3"/>
        <v>21</v>
      </c>
      <c r="B23" s="35"/>
      <c r="C23" s="8" t="s">
        <v>116</v>
      </c>
      <c r="D23" s="9" t="s">
        <v>117</v>
      </c>
      <c r="E23" s="9" t="s">
        <v>112</v>
      </c>
      <c r="F23" s="9" t="s">
        <v>118</v>
      </c>
      <c r="G23" s="10" t="s">
        <v>119</v>
      </c>
      <c r="H23" s="11" t="s">
        <v>275</v>
      </c>
      <c r="I23" s="10"/>
      <c r="J23" s="9" t="s">
        <v>120</v>
      </c>
      <c r="K23" s="10">
        <v>50</v>
      </c>
      <c r="L23" s="11">
        <v>1</v>
      </c>
      <c r="M23" s="10">
        <f t="shared" si="0"/>
        <v>5</v>
      </c>
      <c r="N23" s="6" t="s">
        <v>260</v>
      </c>
      <c r="O23" s="34">
        <v>1.17E-2</v>
      </c>
      <c r="P23" s="34">
        <f t="shared" si="1"/>
        <v>1.17E-2</v>
      </c>
      <c r="Q23" s="34">
        <v>1.17E-2</v>
      </c>
      <c r="R23" s="12">
        <f t="shared" si="2"/>
        <v>0.58499999999999996</v>
      </c>
      <c r="S23" s="10"/>
      <c r="T23" s="7"/>
    </row>
    <row r="24" spans="1:20" ht="15.75" thickBot="1" x14ac:dyDescent="0.3">
      <c r="A24" s="2">
        <f t="shared" si="3"/>
        <v>22</v>
      </c>
      <c r="B24" s="35"/>
      <c r="C24" s="8" t="s">
        <v>121</v>
      </c>
      <c r="D24" s="9" t="s">
        <v>122</v>
      </c>
      <c r="E24" s="9" t="s">
        <v>112</v>
      </c>
      <c r="F24" s="9" t="s">
        <v>123</v>
      </c>
      <c r="G24" s="10" t="s">
        <v>119</v>
      </c>
      <c r="H24" s="31" t="s">
        <v>276</v>
      </c>
      <c r="I24" s="10"/>
      <c r="J24" s="9" t="s">
        <v>124</v>
      </c>
      <c r="K24" s="10">
        <v>100</v>
      </c>
      <c r="L24" s="11">
        <v>1</v>
      </c>
      <c r="M24" s="10">
        <f t="shared" si="0"/>
        <v>5</v>
      </c>
      <c r="N24" s="6" t="s">
        <v>260</v>
      </c>
      <c r="O24" s="34">
        <v>1.6000000000000001E-3</v>
      </c>
      <c r="P24" s="34">
        <f t="shared" si="1"/>
        <v>1.6000000000000001E-3</v>
      </c>
      <c r="Q24" s="34">
        <v>1.6000000000000001E-3</v>
      </c>
      <c r="R24" s="12">
        <f t="shared" si="2"/>
        <v>0.16</v>
      </c>
      <c r="S24" s="10"/>
      <c r="T24" s="7"/>
    </row>
    <row r="25" spans="1:20" ht="15.75" thickBot="1" x14ac:dyDescent="0.3">
      <c r="A25" s="2">
        <f t="shared" si="3"/>
        <v>23</v>
      </c>
      <c r="B25" s="35"/>
      <c r="C25" s="8" t="s">
        <v>125</v>
      </c>
      <c r="D25" s="9" t="s">
        <v>126</v>
      </c>
      <c r="E25" s="9" t="s">
        <v>112</v>
      </c>
      <c r="F25" s="9" t="s">
        <v>127</v>
      </c>
      <c r="G25" s="10" t="s">
        <v>128</v>
      </c>
      <c r="H25" s="31" t="s">
        <v>277</v>
      </c>
      <c r="I25" s="10"/>
      <c r="J25" s="9" t="s">
        <v>129</v>
      </c>
      <c r="K25" s="10">
        <v>100</v>
      </c>
      <c r="L25" s="11">
        <v>1</v>
      </c>
      <c r="M25" s="10">
        <f t="shared" si="0"/>
        <v>5</v>
      </c>
      <c r="N25" s="6" t="s">
        <v>260</v>
      </c>
      <c r="O25" s="34">
        <v>3.3E-3</v>
      </c>
      <c r="P25" s="34">
        <f t="shared" si="1"/>
        <v>3.3E-3</v>
      </c>
      <c r="Q25" s="34">
        <v>3.3E-3</v>
      </c>
      <c r="R25" s="12">
        <f t="shared" si="2"/>
        <v>0.33</v>
      </c>
      <c r="S25" s="10"/>
      <c r="T25" s="7"/>
    </row>
    <row r="26" spans="1:20" ht="15.75" thickBot="1" x14ac:dyDescent="0.3">
      <c r="A26" s="2">
        <f t="shared" si="3"/>
        <v>24</v>
      </c>
      <c r="B26" s="35"/>
      <c r="C26" s="8" t="s">
        <v>130</v>
      </c>
      <c r="D26" s="9" t="s">
        <v>131</v>
      </c>
      <c r="E26" s="9" t="s">
        <v>112</v>
      </c>
      <c r="F26" s="9" t="s">
        <v>132</v>
      </c>
      <c r="G26" s="10" t="s">
        <v>128</v>
      </c>
      <c r="H26" s="11" t="s">
        <v>278</v>
      </c>
      <c r="I26" s="10"/>
      <c r="J26" s="9" t="s">
        <v>133</v>
      </c>
      <c r="K26" s="10">
        <v>100</v>
      </c>
      <c r="L26" s="11">
        <v>1</v>
      </c>
      <c r="M26" s="10">
        <f t="shared" si="0"/>
        <v>5</v>
      </c>
      <c r="N26" s="6" t="s">
        <v>260</v>
      </c>
      <c r="O26" s="34">
        <v>1E-3</v>
      </c>
      <c r="P26" s="34">
        <f t="shared" si="1"/>
        <v>1E-3</v>
      </c>
      <c r="Q26" s="34">
        <v>1E-3</v>
      </c>
      <c r="R26" s="12">
        <f t="shared" si="2"/>
        <v>0.1</v>
      </c>
      <c r="S26" s="10"/>
      <c r="T26" s="7"/>
    </row>
    <row r="27" spans="1:20" ht="15.75" thickBot="1" x14ac:dyDescent="0.3">
      <c r="A27" s="2">
        <f t="shared" si="3"/>
        <v>25</v>
      </c>
      <c r="B27" s="35"/>
      <c r="C27" s="8" t="s">
        <v>134</v>
      </c>
      <c r="D27" s="9" t="s">
        <v>135</v>
      </c>
      <c r="E27" s="9" t="s">
        <v>112</v>
      </c>
      <c r="F27" s="9" t="s">
        <v>136</v>
      </c>
      <c r="G27" s="10" t="s">
        <v>137</v>
      </c>
      <c r="H27" s="31" t="s">
        <v>301</v>
      </c>
      <c r="I27" s="11" t="s">
        <v>302</v>
      </c>
      <c r="J27" s="9" t="s">
        <v>138</v>
      </c>
      <c r="K27" s="10">
        <v>100</v>
      </c>
      <c r="L27" s="11">
        <v>1</v>
      </c>
      <c r="M27" s="10">
        <f t="shared" si="0"/>
        <v>5</v>
      </c>
      <c r="N27" s="6" t="s">
        <v>260</v>
      </c>
      <c r="O27" s="34">
        <v>1E-3</v>
      </c>
      <c r="P27" s="34">
        <f t="shared" si="1"/>
        <v>1E-3</v>
      </c>
      <c r="Q27" s="34">
        <v>1E-3</v>
      </c>
      <c r="R27" s="12">
        <f t="shared" si="2"/>
        <v>0.1</v>
      </c>
      <c r="S27" s="10"/>
      <c r="T27" s="7"/>
    </row>
    <row r="28" spans="1:20" ht="15.75" thickBot="1" x14ac:dyDescent="0.3">
      <c r="A28" s="2">
        <f t="shared" si="3"/>
        <v>26</v>
      </c>
      <c r="B28" s="35"/>
      <c r="C28" s="8" t="s">
        <v>139</v>
      </c>
      <c r="D28" s="9" t="s">
        <v>140</v>
      </c>
      <c r="E28" s="9" t="s">
        <v>112</v>
      </c>
      <c r="F28" s="9" t="s">
        <v>141</v>
      </c>
      <c r="G28" s="10" t="s">
        <v>128</v>
      </c>
      <c r="H28" s="11" t="s">
        <v>280</v>
      </c>
      <c r="I28" s="10"/>
      <c r="J28" s="9" t="s">
        <v>142</v>
      </c>
      <c r="K28" s="10">
        <v>100</v>
      </c>
      <c r="L28" s="11">
        <v>1</v>
      </c>
      <c r="M28" s="10">
        <f t="shared" si="0"/>
        <v>5</v>
      </c>
      <c r="N28" s="6" t="s">
        <v>260</v>
      </c>
      <c r="O28" s="34">
        <v>6.9999999999999999E-4</v>
      </c>
      <c r="P28" s="34">
        <f t="shared" si="1"/>
        <v>6.9999999999999999E-4</v>
      </c>
      <c r="Q28" s="34">
        <v>6.9999999999999999E-4</v>
      </c>
      <c r="R28" s="12">
        <f t="shared" si="2"/>
        <v>6.9999999999999993E-2</v>
      </c>
      <c r="S28" s="10"/>
      <c r="T28" s="7"/>
    </row>
    <row r="29" spans="1:20" ht="15.75" thickBot="1" x14ac:dyDescent="0.3">
      <c r="A29" s="2">
        <f t="shared" si="3"/>
        <v>27</v>
      </c>
      <c r="B29" s="35"/>
      <c r="C29" s="8" t="s">
        <v>143</v>
      </c>
      <c r="D29" s="9" t="s">
        <v>144</v>
      </c>
      <c r="E29" s="9" t="s">
        <v>112</v>
      </c>
      <c r="F29" s="9" t="s">
        <v>145</v>
      </c>
      <c r="G29" s="10" t="s">
        <v>137</v>
      </c>
      <c r="H29" s="11" t="s">
        <v>279</v>
      </c>
      <c r="I29" s="10"/>
      <c r="J29" s="9" t="s">
        <v>146</v>
      </c>
      <c r="K29" s="10">
        <v>100</v>
      </c>
      <c r="L29" s="11">
        <v>2</v>
      </c>
      <c r="M29" s="10">
        <f t="shared" si="0"/>
        <v>10</v>
      </c>
      <c r="N29" s="6" t="s">
        <v>260</v>
      </c>
      <c r="O29" s="34">
        <v>1.1999999999999999E-3</v>
      </c>
      <c r="P29" s="34">
        <f t="shared" si="1"/>
        <v>2.3999999999999998E-3</v>
      </c>
      <c r="Q29" s="34">
        <v>1.1999999999999999E-3</v>
      </c>
      <c r="R29" s="12">
        <f t="shared" si="2"/>
        <v>0.12</v>
      </c>
      <c r="S29" s="10"/>
      <c r="T29" s="7"/>
    </row>
    <row r="30" spans="1:20" ht="15.75" thickBot="1" x14ac:dyDescent="0.3">
      <c r="A30" s="2">
        <f t="shared" si="3"/>
        <v>28</v>
      </c>
      <c r="B30" s="35"/>
      <c r="C30" s="8" t="s">
        <v>147</v>
      </c>
      <c r="D30" s="9" t="s">
        <v>148</v>
      </c>
      <c r="E30" s="9" t="s">
        <v>112</v>
      </c>
      <c r="F30" s="9" t="s">
        <v>149</v>
      </c>
      <c r="G30" s="10" t="s">
        <v>119</v>
      </c>
      <c r="H30" s="11" t="s">
        <v>281</v>
      </c>
      <c r="I30" s="10"/>
      <c r="J30" s="9" t="s">
        <v>150</v>
      </c>
      <c r="K30" s="10">
        <v>100</v>
      </c>
      <c r="L30" s="11">
        <v>1</v>
      </c>
      <c r="M30" s="10">
        <f t="shared" si="0"/>
        <v>5</v>
      </c>
      <c r="N30" s="6" t="s">
        <v>260</v>
      </c>
      <c r="O30" s="34">
        <v>1.2999999999999999E-3</v>
      </c>
      <c r="P30" s="34">
        <f t="shared" si="1"/>
        <v>1.2999999999999999E-3</v>
      </c>
      <c r="Q30" s="34">
        <v>1.2999999999999999E-3</v>
      </c>
      <c r="R30" s="12">
        <f t="shared" si="2"/>
        <v>0.13</v>
      </c>
      <c r="S30" s="10"/>
      <c r="T30" s="7"/>
    </row>
    <row r="31" spans="1:20" ht="15.75" thickBot="1" x14ac:dyDescent="0.3">
      <c r="A31" s="2">
        <f t="shared" si="3"/>
        <v>29</v>
      </c>
      <c r="B31" s="35"/>
      <c r="C31" s="8" t="s">
        <v>151</v>
      </c>
      <c r="D31" s="9" t="s">
        <v>152</v>
      </c>
      <c r="E31" s="9" t="s">
        <v>112</v>
      </c>
      <c r="F31" s="9" t="s">
        <v>153</v>
      </c>
      <c r="G31" s="10" t="s">
        <v>128</v>
      </c>
      <c r="H31" s="31" t="s">
        <v>282</v>
      </c>
      <c r="I31" s="10"/>
      <c r="J31" s="9" t="s">
        <v>154</v>
      </c>
      <c r="K31" s="10">
        <v>100</v>
      </c>
      <c r="L31" s="11">
        <v>1</v>
      </c>
      <c r="M31" s="10">
        <f t="shared" si="0"/>
        <v>5</v>
      </c>
      <c r="N31" s="6" t="s">
        <v>260</v>
      </c>
      <c r="O31" s="34">
        <v>1.2999999999999999E-3</v>
      </c>
      <c r="P31" s="34">
        <f t="shared" si="1"/>
        <v>1.2999999999999999E-3</v>
      </c>
      <c r="Q31" s="34">
        <v>1.2999999999999999E-3</v>
      </c>
      <c r="R31" s="12">
        <f t="shared" si="2"/>
        <v>0.13</v>
      </c>
      <c r="S31" s="10"/>
      <c r="T31" s="7"/>
    </row>
    <row r="32" spans="1:20" ht="15.75" thickBot="1" x14ac:dyDescent="0.3">
      <c r="A32" s="2">
        <f t="shared" si="3"/>
        <v>30</v>
      </c>
      <c r="B32" s="35"/>
      <c r="C32" s="8" t="s">
        <v>155</v>
      </c>
      <c r="D32" s="9" t="s">
        <v>156</v>
      </c>
      <c r="E32" s="9" t="s">
        <v>112</v>
      </c>
      <c r="F32" s="9" t="s">
        <v>157</v>
      </c>
      <c r="G32" s="10" t="s">
        <v>20</v>
      </c>
      <c r="H32" s="31" t="s">
        <v>283</v>
      </c>
      <c r="I32" s="10"/>
      <c r="J32" s="9" t="s">
        <v>115</v>
      </c>
      <c r="K32" s="10">
        <v>20</v>
      </c>
      <c r="L32" s="11">
        <v>1</v>
      </c>
      <c r="M32" s="10">
        <f t="shared" si="0"/>
        <v>5</v>
      </c>
      <c r="N32" s="6" t="s">
        <v>260</v>
      </c>
      <c r="O32" s="34">
        <v>2.2700000000000001E-2</v>
      </c>
      <c r="P32" s="34">
        <f t="shared" si="1"/>
        <v>2.2700000000000001E-2</v>
      </c>
      <c r="Q32" s="34">
        <v>2.2700000000000001E-2</v>
      </c>
      <c r="R32" s="12">
        <f t="shared" si="2"/>
        <v>0.45400000000000001</v>
      </c>
      <c r="S32" s="10"/>
      <c r="T32" s="7"/>
    </row>
    <row r="33" spans="1:20" ht="15.75" thickBot="1" x14ac:dyDescent="0.3">
      <c r="A33" s="2">
        <f t="shared" si="3"/>
        <v>31</v>
      </c>
      <c r="B33" s="35"/>
      <c r="C33" s="8" t="s">
        <v>158</v>
      </c>
      <c r="D33" s="9" t="s">
        <v>159</v>
      </c>
      <c r="E33" s="9" t="s">
        <v>112</v>
      </c>
      <c r="F33" s="9" t="s">
        <v>160</v>
      </c>
      <c r="G33" s="10" t="s">
        <v>119</v>
      </c>
      <c r="H33" s="11" t="s">
        <v>284</v>
      </c>
      <c r="I33" s="10"/>
      <c r="J33" s="9" t="s">
        <v>161</v>
      </c>
      <c r="K33" s="10">
        <v>100</v>
      </c>
      <c r="L33" s="11">
        <v>1</v>
      </c>
      <c r="M33" s="10">
        <f t="shared" si="0"/>
        <v>5</v>
      </c>
      <c r="N33" s="6" t="s">
        <v>260</v>
      </c>
      <c r="O33" s="34">
        <v>1.6999999999999999E-3</v>
      </c>
      <c r="P33" s="34">
        <f t="shared" si="1"/>
        <v>1.6999999999999999E-3</v>
      </c>
      <c r="Q33" s="34">
        <v>1.6999999999999999E-3</v>
      </c>
      <c r="R33" s="12">
        <f t="shared" si="2"/>
        <v>0.16999999999999998</v>
      </c>
      <c r="S33" s="10"/>
      <c r="T33" s="7"/>
    </row>
    <row r="34" spans="1:20" ht="15.75" thickBot="1" x14ac:dyDescent="0.3">
      <c r="A34" s="2">
        <f t="shared" si="3"/>
        <v>32</v>
      </c>
      <c r="B34" s="35"/>
      <c r="C34" s="8" t="s">
        <v>162</v>
      </c>
      <c r="D34" s="9" t="s">
        <v>163</v>
      </c>
      <c r="E34" s="9" t="s">
        <v>112</v>
      </c>
      <c r="F34" s="9" t="s">
        <v>164</v>
      </c>
      <c r="G34" s="10" t="s">
        <v>165</v>
      </c>
      <c r="H34" s="11" t="s">
        <v>285</v>
      </c>
      <c r="I34" s="10"/>
      <c r="J34" s="9" t="s">
        <v>166</v>
      </c>
      <c r="K34" s="10">
        <v>50</v>
      </c>
      <c r="L34" s="11">
        <v>1</v>
      </c>
      <c r="M34" s="10">
        <f t="shared" si="0"/>
        <v>5</v>
      </c>
      <c r="N34" s="6" t="s">
        <v>260</v>
      </c>
      <c r="O34" s="34">
        <v>8.0000000000000002E-3</v>
      </c>
      <c r="P34" s="34">
        <f t="shared" si="1"/>
        <v>8.0000000000000002E-3</v>
      </c>
      <c r="Q34" s="34">
        <v>8.0000000000000002E-3</v>
      </c>
      <c r="R34" s="12">
        <f t="shared" si="2"/>
        <v>0.4</v>
      </c>
      <c r="S34" s="10"/>
      <c r="T34" s="7"/>
    </row>
    <row r="35" spans="1:20" ht="16.5" thickBot="1" x14ac:dyDescent="0.3">
      <c r="A35" s="2">
        <f t="shared" si="3"/>
        <v>33</v>
      </c>
      <c r="B35" s="22" t="s">
        <v>167</v>
      </c>
      <c r="C35" s="8" t="s">
        <v>168</v>
      </c>
      <c r="D35" s="9" t="s">
        <v>169</v>
      </c>
      <c r="E35" s="9" t="s">
        <v>170</v>
      </c>
      <c r="F35" s="9" t="s">
        <v>170</v>
      </c>
      <c r="G35" s="10" t="s">
        <v>171</v>
      </c>
      <c r="H35" s="11" t="s">
        <v>286</v>
      </c>
      <c r="I35" s="10"/>
      <c r="J35" s="9" t="s">
        <v>170</v>
      </c>
      <c r="K35" s="10">
        <v>5</v>
      </c>
      <c r="L35" s="11">
        <v>1</v>
      </c>
      <c r="M35" s="10">
        <f t="shared" si="0"/>
        <v>5</v>
      </c>
      <c r="N35" s="6" t="s">
        <v>260</v>
      </c>
      <c r="O35" s="34">
        <v>0.47070000000000001</v>
      </c>
      <c r="P35" s="34">
        <f t="shared" si="1"/>
        <v>0.47070000000000001</v>
      </c>
      <c r="Q35" s="34">
        <v>0.47070000000000001</v>
      </c>
      <c r="R35" s="12">
        <f t="shared" si="2"/>
        <v>2.3534999999999999</v>
      </c>
      <c r="S35" s="10"/>
      <c r="T35" s="7"/>
    </row>
    <row r="36" spans="1:20" ht="16.5" thickBot="1" x14ac:dyDescent="0.3">
      <c r="A36" s="2">
        <f t="shared" si="3"/>
        <v>34</v>
      </c>
      <c r="B36" s="22" t="s">
        <v>172</v>
      </c>
      <c r="C36" s="8" t="s">
        <v>173</v>
      </c>
      <c r="D36" s="9" t="s">
        <v>174</v>
      </c>
      <c r="E36" s="9" t="s">
        <v>175</v>
      </c>
      <c r="F36" s="9" t="s">
        <v>175</v>
      </c>
      <c r="G36" s="10" t="s">
        <v>81</v>
      </c>
      <c r="H36" s="10"/>
      <c r="I36" s="10"/>
      <c r="J36" s="9" t="s">
        <v>175</v>
      </c>
      <c r="K36" s="10">
        <v>85</v>
      </c>
      <c r="L36" s="11">
        <v>1</v>
      </c>
      <c r="M36" s="10">
        <f t="shared" si="0"/>
        <v>5</v>
      </c>
      <c r="N36" s="6" t="s">
        <v>303</v>
      </c>
      <c r="O36" s="34">
        <v>0.59699999999999998</v>
      </c>
      <c r="P36" s="34">
        <f t="shared" si="1"/>
        <v>0.59699999999999998</v>
      </c>
      <c r="Q36" s="34">
        <v>0.59699999999999998</v>
      </c>
      <c r="R36" s="12">
        <f t="shared" si="2"/>
        <v>50.744999999999997</v>
      </c>
      <c r="S36" s="10"/>
      <c r="T36" s="7"/>
    </row>
    <row r="37" spans="1:20" ht="15.75" thickBot="1" x14ac:dyDescent="0.3">
      <c r="A37" s="2">
        <f t="shared" si="3"/>
        <v>35</v>
      </c>
      <c r="B37" s="35" t="s">
        <v>176</v>
      </c>
      <c r="C37" s="8" t="s">
        <v>177</v>
      </c>
      <c r="D37" s="9" t="s">
        <v>178</v>
      </c>
      <c r="E37" s="9" t="s">
        <v>179</v>
      </c>
      <c r="F37" s="9" t="s">
        <v>180</v>
      </c>
      <c r="G37" s="10" t="s">
        <v>180</v>
      </c>
      <c r="H37" s="11" t="s">
        <v>287</v>
      </c>
      <c r="I37" s="10"/>
      <c r="J37" s="9" t="s">
        <v>180</v>
      </c>
      <c r="K37" s="10">
        <v>5</v>
      </c>
      <c r="L37" s="11">
        <v>1</v>
      </c>
      <c r="M37" s="10">
        <f t="shared" si="0"/>
        <v>5</v>
      </c>
      <c r="N37" s="6" t="s">
        <v>260</v>
      </c>
      <c r="O37" s="34">
        <v>3.3721999999999999</v>
      </c>
      <c r="P37" s="34">
        <f t="shared" si="1"/>
        <v>3.3721999999999999</v>
      </c>
      <c r="Q37" s="34">
        <v>3.3721999999999999</v>
      </c>
      <c r="R37" s="12">
        <f t="shared" si="2"/>
        <v>16.861000000000001</v>
      </c>
      <c r="S37" s="10"/>
      <c r="T37" s="7"/>
    </row>
    <row r="38" spans="1:20" ht="15.75" thickBot="1" x14ac:dyDescent="0.3">
      <c r="A38" s="2">
        <f t="shared" si="3"/>
        <v>36</v>
      </c>
      <c r="B38" s="35"/>
      <c r="C38" s="8" t="s">
        <v>181</v>
      </c>
      <c r="D38" s="9" t="s">
        <v>182</v>
      </c>
      <c r="E38" s="9" t="s">
        <v>183</v>
      </c>
      <c r="F38" s="9" t="s">
        <v>184</v>
      </c>
      <c r="G38" s="10" t="s">
        <v>185</v>
      </c>
      <c r="H38" s="11" t="s">
        <v>288</v>
      </c>
      <c r="I38" s="10"/>
      <c r="J38" s="9" t="s">
        <v>184</v>
      </c>
      <c r="K38" s="10">
        <v>5</v>
      </c>
      <c r="L38" s="11">
        <v>1</v>
      </c>
      <c r="M38" s="10">
        <f t="shared" si="0"/>
        <v>5</v>
      </c>
      <c r="N38" s="6" t="s">
        <v>260</v>
      </c>
      <c r="O38" s="34">
        <v>1.6869000000000001</v>
      </c>
      <c r="P38" s="34">
        <f t="shared" si="1"/>
        <v>1.6869000000000001</v>
      </c>
      <c r="Q38" s="34">
        <v>1.6869000000000001</v>
      </c>
      <c r="R38" s="12">
        <f t="shared" si="2"/>
        <v>8.4344999999999999</v>
      </c>
      <c r="S38" s="10"/>
      <c r="T38" s="7"/>
    </row>
    <row r="39" spans="1:20" ht="15.75" thickBot="1" x14ac:dyDescent="0.3">
      <c r="A39" s="2">
        <f t="shared" si="3"/>
        <v>37</v>
      </c>
      <c r="B39" s="35"/>
      <c r="C39" s="8" t="s">
        <v>186</v>
      </c>
      <c r="D39" s="9" t="s">
        <v>187</v>
      </c>
      <c r="E39" s="9" t="s">
        <v>188</v>
      </c>
      <c r="F39" s="9" t="s">
        <v>189</v>
      </c>
      <c r="G39" s="10" t="s">
        <v>190</v>
      </c>
      <c r="H39" s="10"/>
      <c r="I39" s="10"/>
      <c r="J39" s="9" t="s">
        <v>189</v>
      </c>
      <c r="K39" s="10">
        <v>5</v>
      </c>
      <c r="L39" s="11">
        <v>1</v>
      </c>
      <c r="M39" s="10">
        <f t="shared" si="0"/>
        <v>5</v>
      </c>
      <c r="N39" s="6" t="s">
        <v>303</v>
      </c>
      <c r="O39" s="34">
        <v>16.577000000000002</v>
      </c>
      <c r="P39" s="34">
        <f t="shared" si="1"/>
        <v>16.577000000000002</v>
      </c>
      <c r="Q39" s="34">
        <v>16.577000000000002</v>
      </c>
      <c r="R39" s="12">
        <f t="shared" si="2"/>
        <v>82.885000000000005</v>
      </c>
      <c r="S39" s="10"/>
      <c r="T39" s="7"/>
    </row>
    <row r="40" spans="1:20" ht="15.75" thickBot="1" x14ac:dyDescent="0.3">
      <c r="A40" s="2">
        <f t="shared" si="3"/>
        <v>38</v>
      </c>
      <c r="B40" s="35"/>
      <c r="C40" s="8" t="s">
        <v>191</v>
      </c>
      <c r="D40" s="9" t="s">
        <v>192</v>
      </c>
      <c r="E40" s="9" t="s">
        <v>193</v>
      </c>
      <c r="F40" s="9" t="s">
        <v>194</v>
      </c>
      <c r="G40" s="10" t="s">
        <v>195</v>
      </c>
      <c r="H40" s="10"/>
      <c r="I40" s="10"/>
      <c r="J40" s="9" t="s">
        <v>194</v>
      </c>
      <c r="K40" s="10">
        <v>750</v>
      </c>
      <c r="L40" s="11">
        <v>1</v>
      </c>
      <c r="M40" s="10">
        <f t="shared" si="0"/>
        <v>5</v>
      </c>
      <c r="N40" s="6" t="s">
        <v>308</v>
      </c>
      <c r="O40" s="34">
        <v>0.496</v>
      </c>
      <c r="P40" s="34">
        <f t="shared" si="1"/>
        <v>0.496</v>
      </c>
      <c r="Q40" s="34">
        <v>0.496</v>
      </c>
      <c r="R40" s="12">
        <f t="shared" si="2"/>
        <v>372</v>
      </c>
      <c r="S40" s="10" t="s">
        <v>309</v>
      </c>
      <c r="T40" s="7"/>
    </row>
    <row r="41" spans="1:20" ht="15.75" thickBot="1" x14ac:dyDescent="0.3">
      <c r="A41" s="2">
        <f t="shared" si="3"/>
        <v>39</v>
      </c>
      <c r="B41" s="35"/>
      <c r="C41" s="8" t="s">
        <v>196</v>
      </c>
      <c r="D41" s="9" t="s">
        <v>197</v>
      </c>
      <c r="E41" s="9" t="s">
        <v>198</v>
      </c>
      <c r="F41" s="9" t="s">
        <v>199</v>
      </c>
      <c r="G41" s="10" t="s">
        <v>200</v>
      </c>
      <c r="H41" s="10"/>
      <c r="I41" s="10"/>
      <c r="J41" s="9" t="s">
        <v>199</v>
      </c>
      <c r="K41" s="10">
        <v>95</v>
      </c>
      <c r="L41" s="11">
        <v>1</v>
      </c>
      <c r="M41" s="10">
        <f t="shared" si="0"/>
        <v>5</v>
      </c>
      <c r="N41" s="6" t="s">
        <v>303</v>
      </c>
      <c r="O41" s="34">
        <v>0.55500000000000005</v>
      </c>
      <c r="P41" s="34">
        <f t="shared" si="1"/>
        <v>0.55500000000000005</v>
      </c>
      <c r="Q41" s="34">
        <v>0.55500000000000005</v>
      </c>
      <c r="R41" s="12">
        <f t="shared" si="2"/>
        <v>52.725000000000001</v>
      </c>
      <c r="S41" s="10"/>
      <c r="T41" s="7"/>
    </row>
    <row r="42" spans="1:20" ht="15.75" thickBot="1" x14ac:dyDescent="0.3">
      <c r="A42" s="2">
        <f t="shared" si="3"/>
        <v>40</v>
      </c>
      <c r="B42" s="35"/>
      <c r="C42" s="8" t="s">
        <v>201</v>
      </c>
      <c r="D42" s="9" t="s">
        <v>202</v>
      </c>
      <c r="E42" s="9" t="s">
        <v>203</v>
      </c>
      <c r="F42" s="9" t="s">
        <v>204</v>
      </c>
      <c r="G42" s="10" t="s">
        <v>205</v>
      </c>
      <c r="H42" s="11" t="s">
        <v>289</v>
      </c>
      <c r="I42" s="10"/>
      <c r="J42" s="9" t="s">
        <v>204</v>
      </c>
      <c r="K42" s="10">
        <v>5</v>
      </c>
      <c r="L42" s="11">
        <v>1</v>
      </c>
      <c r="M42" s="10">
        <f t="shared" si="0"/>
        <v>5</v>
      </c>
      <c r="N42" s="33" t="s">
        <v>260</v>
      </c>
      <c r="O42" s="34">
        <v>0.32269999999999999</v>
      </c>
      <c r="P42" s="34">
        <f t="shared" si="1"/>
        <v>0.32269999999999999</v>
      </c>
      <c r="Q42" s="34">
        <v>0.32269999999999999</v>
      </c>
      <c r="R42" s="12">
        <f t="shared" si="2"/>
        <v>1.6134999999999999</v>
      </c>
      <c r="S42" s="10"/>
      <c r="T42" s="7"/>
    </row>
    <row r="43" spans="1:20" ht="15.75" thickBot="1" x14ac:dyDescent="0.3">
      <c r="A43" s="2">
        <f t="shared" si="3"/>
        <v>41</v>
      </c>
      <c r="B43" s="35"/>
      <c r="C43" s="8" t="s">
        <v>206</v>
      </c>
      <c r="D43" s="9" t="s">
        <v>207</v>
      </c>
      <c r="E43" s="9" t="s">
        <v>208</v>
      </c>
      <c r="F43" s="9" t="s">
        <v>209</v>
      </c>
      <c r="G43" s="10" t="s">
        <v>195</v>
      </c>
      <c r="H43" s="10"/>
      <c r="I43" s="10"/>
      <c r="J43" s="9" t="s">
        <v>209</v>
      </c>
      <c r="K43" s="10">
        <v>10</v>
      </c>
      <c r="L43" s="11">
        <v>1</v>
      </c>
      <c r="M43" s="10">
        <f t="shared" si="0"/>
        <v>5</v>
      </c>
      <c r="N43" s="6" t="s">
        <v>304</v>
      </c>
      <c r="O43" s="34">
        <v>0.72650000000000003</v>
      </c>
      <c r="P43" s="34">
        <f t="shared" si="1"/>
        <v>0.72650000000000003</v>
      </c>
      <c r="Q43" s="34">
        <v>0.72650000000000003</v>
      </c>
      <c r="R43" s="12">
        <f t="shared" si="2"/>
        <v>7.2650000000000006</v>
      </c>
      <c r="S43" s="10"/>
      <c r="T43" s="7"/>
    </row>
    <row r="44" spans="1:20" ht="15.75" thickBot="1" x14ac:dyDescent="0.3">
      <c r="A44" s="2">
        <f t="shared" si="3"/>
        <v>42</v>
      </c>
      <c r="B44" s="35"/>
      <c r="C44" s="8" t="s">
        <v>210</v>
      </c>
      <c r="D44" s="9" t="s">
        <v>211</v>
      </c>
      <c r="E44" s="9" t="s">
        <v>212</v>
      </c>
      <c r="F44" s="9" t="s">
        <v>213</v>
      </c>
      <c r="G44" s="10" t="s">
        <v>108</v>
      </c>
      <c r="H44" s="11" t="s">
        <v>290</v>
      </c>
      <c r="I44" s="10"/>
      <c r="J44" s="9" t="s">
        <v>213</v>
      </c>
      <c r="K44" s="10">
        <v>5</v>
      </c>
      <c r="L44" s="11">
        <v>1</v>
      </c>
      <c r="M44" s="10">
        <f t="shared" si="0"/>
        <v>5</v>
      </c>
      <c r="N44" s="6" t="s">
        <v>260</v>
      </c>
      <c r="O44" s="34">
        <v>0.30990000000000001</v>
      </c>
      <c r="P44" s="34">
        <f t="shared" si="1"/>
        <v>0.30990000000000001</v>
      </c>
      <c r="Q44" s="34">
        <v>0.30990000000000001</v>
      </c>
      <c r="R44" s="12">
        <f t="shared" si="2"/>
        <v>1.5495000000000001</v>
      </c>
      <c r="S44" s="10"/>
      <c r="T44" s="7"/>
    </row>
    <row r="45" spans="1:20" ht="15.75" thickBot="1" x14ac:dyDescent="0.3">
      <c r="A45" s="2">
        <f t="shared" si="3"/>
        <v>43</v>
      </c>
      <c r="B45" s="35"/>
      <c r="C45" s="8" t="s">
        <v>214</v>
      </c>
      <c r="D45" s="9" t="s">
        <v>215</v>
      </c>
      <c r="E45" s="9" t="s">
        <v>216</v>
      </c>
      <c r="F45" s="9" t="s">
        <v>217</v>
      </c>
      <c r="G45" s="10" t="s">
        <v>218</v>
      </c>
      <c r="H45" s="11"/>
      <c r="I45" s="10"/>
      <c r="J45" s="9" t="s">
        <v>217</v>
      </c>
      <c r="K45" s="10">
        <v>5</v>
      </c>
      <c r="L45" s="11">
        <v>1</v>
      </c>
      <c r="M45" s="10">
        <f t="shared" si="0"/>
        <v>5</v>
      </c>
      <c r="N45" s="6" t="s">
        <v>260</v>
      </c>
      <c r="O45" s="34">
        <v>1.7248000000000001</v>
      </c>
      <c r="P45" s="34">
        <f t="shared" si="1"/>
        <v>1.7248000000000001</v>
      </c>
      <c r="Q45" s="34">
        <v>1.7248000000000001</v>
      </c>
      <c r="R45" s="12">
        <f t="shared" si="2"/>
        <v>8.6240000000000006</v>
      </c>
      <c r="S45" s="10" t="s">
        <v>307</v>
      </c>
      <c r="T45" s="7"/>
    </row>
    <row r="46" spans="1:20" ht="15.75" thickBot="1" x14ac:dyDescent="0.3">
      <c r="A46" s="2">
        <f t="shared" si="3"/>
        <v>44</v>
      </c>
      <c r="B46" s="35" t="s">
        <v>219</v>
      </c>
      <c r="C46" s="8" t="s">
        <v>220</v>
      </c>
      <c r="D46" s="9" t="s">
        <v>221</v>
      </c>
      <c r="E46" s="9" t="s">
        <v>222</v>
      </c>
      <c r="F46" s="9" t="s">
        <v>222</v>
      </c>
      <c r="G46" s="10" t="s">
        <v>223</v>
      </c>
      <c r="H46" s="11" t="s">
        <v>291</v>
      </c>
      <c r="I46" s="10"/>
      <c r="J46" s="9" t="s">
        <v>222</v>
      </c>
      <c r="K46" s="10">
        <v>5</v>
      </c>
      <c r="L46" s="11">
        <v>1</v>
      </c>
      <c r="M46" s="10">
        <f t="shared" si="0"/>
        <v>5</v>
      </c>
      <c r="N46" s="6" t="s">
        <v>260</v>
      </c>
      <c r="O46" s="34">
        <v>9.1200000000000003E-2</v>
      </c>
      <c r="P46" s="34">
        <f t="shared" si="1"/>
        <v>9.1200000000000003E-2</v>
      </c>
      <c r="Q46" s="34">
        <v>9.1200000000000003E-2</v>
      </c>
      <c r="R46" s="12">
        <f t="shared" si="2"/>
        <v>0.45600000000000002</v>
      </c>
      <c r="S46" s="10"/>
      <c r="T46" s="7"/>
    </row>
    <row r="47" spans="1:20" ht="15.75" thickBot="1" x14ac:dyDescent="0.3">
      <c r="A47" s="2">
        <f t="shared" si="3"/>
        <v>45</v>
      </c>
      <c r="B47" s="35"/>
      <c r="C47" s="8" t="s">
        <v>224</v>
      </c>
      <c r="D47" s="9" t="s">
        <v>225</v>
      </c>
      <c r="E47" s="9" t="s">
        <v>226</v>
      </c>
      <c r="F47" s="9" t="s">
        <v>226</v>
      </c>
      <c r="G47" s="10" t="s">
        <v>227</v>
      </c>
      <c r="H47" s="10"/>
      <c r="I47" s="10"/>
      <c r="J47" s="9" t="s">
        <v>226</v>
      </c>
      <c r="K47" s="10"/>
      <c r="L47" s="11">
        <v>1</v>
      </c>
      <c r="M47" s="10">
        <f>L47*5</f>
        <v>5</v>
      </c>
      <c r="N47" s="15"/>
      <c r="O47" s="34">
        <f t="shared" si="1"/>
        <v>0</v>
      </c>
      <c r="P47" s="34">
        <f t="shared" si="1"/>
        <v>0</v>
      </c>
      <c r="Q47" s="34">
        <f t="shared" si="1"/>
        <v>0</v>
      </c>
      <c r="R47" s="12">
        <f t="shared" si="2"/>
        <v>0</v>
      </c>
      <c r="S47" s="26" t="s">
        <v>228</v>
      </c>
      <c r="T47" s="7"/>
    </row>
    <row r="48" spans="1:20" ht="15.75" thickBot="1" x14ac:dyDescent="0.3">
      <c r="A48" s="2">
        <f t="shared" si="3"/>
        <v>46</v>
      </c>
      <c r="B48" s="35"/>
      <c r="C48" s="8" t="s">
        <v>229</v>
      </c>
      <c r="D48" s="9" t="s">
        <v>230</v>
      </c>
      <c r="E48" s="9" t="s">
        <v>231</v>
      </c>
      <c r="F48" s="9" t="s">
        <v>231</v>
      </c>
      <c r="G48" s="10" t="s">
        <v>232</v>
      </c>
      <c r="H48" s="10"/>
      <c r="I48" s="10"/>
      <c r="J48" s="9" t="s">
        <v>231</v>
      </c>
      <c r="K48" s="10"/>
      <c r="L48" s="11">
        <v>1</v>
      </c>
      <c r="M48" s="10">
        <f>L48*5</f>
        <v>5</v>
      </c>
      <c r="N48" s="16"/>
      <c r="O48" s="17">
        <v>0</v>
      </c>
      <c r="P48" s="34">
        <f t="shared" si="1"/>
        <v>0</v>
      </c>
      <c r="Q48" s="17">
        <v>0</v>
      </c>
      <c r="R48" s="17">
        <v>0</v>
      </c>
      <c r="S48" s="19" t="s">
        <v>233</v>
      </c>
      <c r="T48" s="7"/>
    </row>
    <row r="49" spans="1:20" ht="15.75" thickBot="1" x14ac:dyDescent="0.3">
      <c r="A49" s="2">
        <f t="shared" si="3"/>
        <v>47</v>
      </c>
      <c r="B49" s="35"/>
      <c r="C49" s="8" t="s">
        <v>234</v>
      </c>
      <c r="D49" s="9" t="s">
        <v>235</v>
      </c>
      <c r="E49" s="9" t="s">
        <v>236</v>
      </c>
      <c r="F49" s="9" t="s">
        <v>236</v>
      </c>
      <c r="G49" s="10"/>
      <c r="H49" s="10"/>
      <c r="I49" s="10"/>
      <c r="J49" s="9" t="s">
        <v>236</v>
      </c>
      <c r="K49" s="10"/>
      <c r="L49" s="11">
        <v>1</v>
      </c>
      <c r="M49" s="10">
        <f>L49*5</f>
        <v>5</v>
      </c>
      <c r="N49" s="20"/>
      <c r="O49" s="20"/>
      <c r="P49" s="20"/>
      <c r="Q49" s="20"/>
      <c r="R49" s="20"/>
      <c r="S49" s="19" t="s">
        <v>233</v>
      </c>
      <c r="T49" s="7"/>
    </row>
    <row r="50" spans="1:20" ht="15.75" thickBot="1" x14ac:dyDescent="0.3">
      <c r="A50" s="2">
        <f t="shared" si="3"/>
        <v>48</v>
      </c>
      <c r="B50" s="35"/>
      <c r="C50" s="8" t="s">
        <v>237</v>
      </c>
      <c r="D50" s="9" t="s">
        <v>238</v>
      </c>
      <c r="E50" s="9" t="s">
        <v>239</v>
      </c>
      <c r="F50" s="9" t="s">
        <v>239</v>
      </c>
      <c r="G50" s="10"/>
      <c r="H50" s="10"/>
      <c r="I50" s="10"/>
      <c r="J50" s="9" t="s">
        <v>239</v>
      </c>
      <c r="K50" s="10"/>
      <c r="L50" s="11">
        <v>2</v>
      </c>
      <c r="M50" s="10">
        <f>L50*5</f>
        <v>10</v>
      </c>
      <c r="N50" s="20"/>
      <c r="O50" s="20"/>
      <c r="P50" s="20"/>
      <c r="Q50" s="20"/>
      <c r="R50" s="20"/>
      <c r="S50" s="19" t="s">
        <v>233</v>
      </c>
      <c r="T50" s="7"/>
    </row>
    <row r="51" spans="1:20" ht="15.75" thickBot="1" x14ac:dyDescent="0.3">
      <c r="A51" s="2">
        <f t="shared" si="3"/>
        <v>49</v>
      </c>
      <c r="B51" s="35"/>
      <c r="C51" s="8" t="s">
        <v>240</v>
      </c>
      <c r="D51" s="9" t="s">
        <v>241</v>
      </c>
      <c r="E51" s="9" t="s">
        <v>242</v>
      </c>
      <c r="F51" s="9" t="s">
        <v>242</v>
      </c>
      <c r="G51" s="10"/>
      <c r="H51" s="10"/>
      <c r="I51" s="10"/>
      <c r="J51" s="9" t="s">
        <v>243</v>
      </c>
      <c r="K51" s="10"/>
      <c r="L51" s="11">
        <v>1</v>
      </c>
      <c r="M51" s="10">
        <f t="shared" si="0"/>
        <v>5</v>
      </c>
      <c r="N51" s="20"/>
      <c r="O51" s="20"/>
      <c r="P51" s="20"/>
      <c r="Q51" s="20"/>
      <c r="R51" s="20"/>
      <c r="S51" s="19" t="s">
        <v>233</v>
      </c>
      <c r="T51" s="7"/>
    </row>
    <row r="52" spans="1:20" ht="15.75" thickBot="1" x14ac:dyDescent="0.3">
      <c r="A52" s="3">
        <f t="shared" si="3"/>
        <v>50</v>
      </c>
      <c r="B52" s="36"/>
      <c r="C52" s="8" t="s">
        <v>244</v>
      </c>
      <c r="D52" s="9" t="s">
        <v>245</v>
      </c>
      <c r="E52" s="9" t="s">
        <v>246</v>
      </c>
      <c r="F52" s="9" t="s">
        <v>246</v>
      </c>
      <c r="G52" s="10"/>
      <c r="H52" s="10"/>
      <c r="I52" s="10"/>
      <c r="J52" s="9" t="s">
        <v>246</v>
      </c>
      <c r="K52" s="10"/>
      <c r="L52" s="11">
        <v>14</v>
      </c>
      <c r="M52" s="10">
        <f t="shared" si="0"/>
        <v>70</v>
      </c>
      <c r="N52" s="20"/>
      <c r="O52" s="20"/>
      <c r="P52" s="20"/>
      <c r="Q52" s="20"/>
      <c r="R52" s="20"/>
      <c r="S52" s="19" t="s">
        <v>233</v>
      </c>
      <c r="T52" s="7"/>
    </row>
    <row r="53" spans="1:20" ht="16.5" thickBot="1" x14ac:dyDescent="0.3">
      <c r="A53" s="3">
        <f t="shared" si="3"/>
        <v>51</v>
      </c>
      <c r="B53" s="22" t="s">
        <v>247</v>
      </c>
      <c r="C53" s="7" t="s">
        <v>248</v>
      </c>
      <c r="D53" s="10" t="s">
        <v>247</v>
      </c>
      <c r="E53" s="10"/>
      <c r="F53" s="10" t="s">
        <v>249</v>
      </c>
      <c r="G53" s="10"/>
      <c r="H53" s="10"/>
      <c r="I53" s="10"/>
      <c r="J53" s="10"/>
      <c r="K53" s="10"/>
      <c r="L53" s="10">
        <v>1</v>
      </c>
      <c r="M53" s="10">
        <v>3</v>
      </c>
      <c r="N53" s="18"/>
      <c r="O53" s="18"/>
      <c r="P53" s="20"/>
      <c r="Q53" s="20"/>
      <c r="R53" s="20"/>
      <c r="S53" s="19" t="s">
        <v>250</v>
      </c>
      <c r="T53" s="7"/>
    </row>
    <row r="54" spans="1:20" ht="15.75" x14ac:dyDescent="0.25">
      <c r="A54" s="3">
        <f t="shared" si="3"/>
        <v>52</v>
      </c>
      <c r="B54" s="22" t="s">
        <v>251</v>
      </c>
      <c r="C54" s="7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8"/>
      <c r="O54" s="18"/>
      <c r="P54" s="20"/>
      <c r="Q54" s="20"/>
      <c r="R54" s="20"/>
      <c r="S54" s="19" t="s">
        <v>252</v>
      </c>
      <c r="T54" s="7"/>
    </row>
    <row r="55" spans="1:20" ht="15.75" thickBot="1" x14ac:dyDescent="0.3">
      <c r="D55" s="23"/>
      <c r="E55" s="23"/>
      <c r="F55" s="23"/>
      <c r="G55" s="23"/>
      <c r="H55" s="23"/>
      <c r="I55" s="23"/>
      <c r="J55" s="37" t="s">
        <v>253</v>
      </c>
      <c r="K55" s="37"/>
      <c r="L55" s="37"/>
      <c r="M55" s="37"/>
      <c r="N55" s="23"/>
      <c r="O55" s="23"/>
      <c r="P55" s="24"/>
      <c r="R55" s="24">
        <f>SUM(R3:R48)</f>
        <v>629.61610000000007</v>
      </c>
      <c r="S55" s="23"/>
    </row>
    <row r="56" spans="1:20" x14ac:dyDescent="0.25">
      <c r="D56" s="23"/>
      <c r="E56" s="23"/>
      <c r="F56" s="23"/>
      <c r="G56" s="23"/>
      <c r="H56" s="23"/>
      <c r="I56" s="23"/>
      <c r="J56" s="38" t="s">
        <v>254</v>
      </c>
      <c r="K56" s="38"/>
      <c r="L56" s="38"/>
      <c r="M56" s="38"/>
      <c r="N56" s="25"/>
      <c r="O56" s="23"/>
      <c r="P56" s="24">
        <f>SUM(P3:P48)</f>
        <v>29.353500000000004</v>
      </c>
      <c r="Q56" s="23"/>
      <c r="R56" s="24">
        <f>R55/5</f>
        <v>125.92322000000001</v>
      </c>
      <c r="S56" s="23"/>
    </row>
  </sheetData>
  <mergeCells count="10">
    <mergeCell ref="B37:B45"/>
    <mergeCell ref="B46:B52"/>
    <mergeCell ref="J55:M55"/>
    <mergeCell ref="J56:M56"/>
    <mergeCell ref="A1:S1"/>
    <mergeCell ref="B3:B12"/>
    <mergeCell ref="B13:B15"/>
    <mergeCell ref="B16:B19"/>
    <mergeCell ref="B20:B21"/>
    <mergeCell ref="B22:B34"/>
  </mergeCells>
  <conditionalFormatting sqref="N56:P5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{6BE4A7D4-B9F9-4115-AFBF-64D480F1C2C1}</x14:id>
        </ext>
      </extLst>
    </cfRule>
  </conditionalFormatting>
  <conditionalFormatting sqref="N3:N41 N43:N4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{DE91BB01-4CFB-4677-92E5-35B987B3A581}</x14:id>
        </ext>
      </extLst>
    </cfRule>
  </conditionalFormatting>
  <conditionalFormatting sqref="P3:P5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{32D2C0AE-BED6-4768-9A3C-99915AA571C3}</x14:id>
        </ext>
      </extLst>
    </cfRule>
  </conditionalFormatting>
  <conditionalFormatting sqref="L3:M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9:Q54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{D53F26C4-4094-4E31-A0DD-099CD9A6CFD0}</x14:id>
        </ext>
      </extLst>
    </cfRule>
  </conditionalFormatting>
  <conditionalFormatting sqref="Q4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{F8989007-8496-4BF9-8FB8-8ABD79091B21}</x14:id>
        </ext>
      </extLst>
    </cfRule>
  </conditionalFormatting>
  <conditionalFormatting sqref="O4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{B8129D40-680B-4868-BAD9-5187D9A76834}</x14:id>
        </ext>
      </extLst>
    </cfRule>
  </conditionalFormatting>
  <conditionalFormatting sqref="P56:R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{AECBD8E6-0A7D-44F6-9C2A-B74CB1330D16}</x14:id>
        </ext>
      </extLst>
    </cfRule>
  </conditionalFormatting>
  <conditionalFormatting sqref="R3:R4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{677737C6-138D-476D-8C9D-59CAAC5A74F7}</x14:id>
        </ext>
      </extLst>
    </cfRule>
  </conditionalFormatting>
  <hyperlinks>
    <hyperlink ref="G11" r:id="rId1" display="https://www.digikey.com/en/supplier-centers/murata-electronics"/>
    <hyperlink ref="G12" r:id="rId2" display="https://www.digikey.com/en/supplier-centers/murata-electronics"/>
    <hyperlink ref="G6" r:id="rId3" display="https://lcsc.com/brand-detail/79.html"/>
    <hyperlink ref="G31" r:id="rId4" display="https://lcsc.com/brand-detail/99.html"/>
    <hyperlink ref="G44" r:id="rId5" display="https://lcsc.com/brand-detail/296.html"/>
    <hyperlink ref="G42" r:id="rId6" display="https://lcsc.com/brand-detail/488.html"/>
    <hyperlink ref="G41" r:id="rId7" display="https://lcsc.com/brand-detail/897.html"/>
    <hyperlink ref="G38" r:id="rId8" display="https://lcsc.com/brand-detail/11667.html"/>
    <hyperlink ref="G28" r:id="rId9" display="https://lcsc.com/brand-detail/99.html"/>
    <hyperlink ref="G26" r:id="rId10" display="https://lcsc.com/brand-detail/99.html"/>
    <hyperlink ref="G25" r:id="rId11" display="https://lcsc.com/brand-detail/99.html"/>
    <hyperlink ref="G22" r:id="rId12" display="https://lcsc.com/brand-detail/512.html"/>
    <hyperlink ref="G17" r:id="rId13" display="https://lcsc.com/brand-detail/11934.html"/>
    <hyperlink ref="G32" r:id="rId14" display="https://www.digikey.com/en/supplier-centers/murata-electronics"/>
    <hyperlink ref="G47" r:id="rId15" tooltip="Magnetic Connectors from HytePro" display="https://www.hyte.pro/"/>
    <hyperlink ref="N3" r:id="rId16"/>
    <hyperlink ref="N6" r:id="rId17"/>
    <hyperlink ref="N7" r:id="rId18"/>
    <hyperlink ref="N8" r:id="rId19"/>
    <hyperlink ref="N10" r:id="rId20"/>
    <hyperlink ref="N11" r:id="rId21"/>
    <hyperlink ref="N12" r:id="rId22"/>
    <hyperlink ref="N14" r:id="rId23"/>
    <hyperlink ref="N15" r:id="rId24"/>
    <hyperlink ref="N17" r:id="rId25"/>
    <hyperlink ref="N19" r:id="rId26"/>
    <hyperlink ref="N20" r:id="rId27"/>
    <hyperlink ref="N21" r:id="rId28"/>
    <hyperlink ref="N22" r:id="rId29"/>
    <hyperlink ref="N23" r:id="rId30"/>
    <hyperlink ref="N24" r:id="rId31"/>
    <hyperlink ref="N25" r:id="rId32"/>
    <hyperlink ref="N26" r:id="rId33"/>
    <hyperlink ref="N29" r:id="rId34"/>
    <hyperlink ref="N28" r:id="rId35"/>
    <hyperlink ref="N30" r:id="rId36"/>
    <hyperlink ref="N31" r:id="rId37"/>
    <hyperlink ref="N32" r:id="rId38"/>
    <hyperlink ref="N33" r:id="rId39"/>
    <hyperlink ref="N34" r:id="rId40"/>
    <hyperlink ref="N35" r:id="rId41"/>
    <hyperlink ref="N37" r:id="rId42"/>
    <hyperlink ref="N38" r:id="rId43"/>
    <hyperlink ref="N42" r:id="rId44"/>
    <hyperlink ref="N44" r:id="rId45"/>
    <hyperlink ref="N46" r:id="rId46"/>
    <hyperlink ref="N4" r:id="rId47"/>
    <hyperlink ref="N5" r:id="rId48"/>
    <hyperlink ref="N9" r:id="rId49"/>
    <hyperlink ref="N16" r:id="rId50"/>
    <hyperlink ref="N27" r:id="rId51"/>
    <hyperlink ref="N39" r:id="rId52"/>
    <hyperlink ref="N36" r:id="rId53"/>
    <hyperlink ref="N41" r:id="rId54"/>
    <hyperlink ref="N43" r:id="rId55"/>
    <hyperlink ref="N13" r:id="rId56"/>
    <hyperlink ref="N45" r:id="rId57"/>
    <hyperlink ref="N40" r:id="rId58"/>
  </hyperlinks>
  <pageMargins left="0.7" right="0.7" top="0.75" bottom="0.75" header="0.3" footer="0.3"/>
  <pageSetup orientation="portrait" r:id="rId5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E4A7D4-B9F9-4115-AFBF-64D480F1C2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N56:P56</xm:sqref>
        </x14:conditionalFormatting>
        <x14:conditionalFormatting xmlns:xm="http://schemas.microsoft.com/office/excel/2006/main">
          <x14:cfRule type="dataBar" id="{DE91BB01-4CFB-4677-92E5-35B987B3A5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N3:N41 N43:N46</xm:sqref>
        </x14:conditionalFormatting>
        <x14:conditionalFormatting xmlns:xm="http://schemas.microsoft.com/office/excel/2006/main">
          <x14:cfRule type="dataBar" id="{32D2C0AE-BED6-4768-9A3C-99915AA571C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P3:P54</xm:sqref>
        </x14:conditionalFormatting>
        <x14:conditionalFormatting xmlns:xm="http://schemas.microsoft.com/office/excel/2006/main">
          <x14:cfRule type="dataBar" id="{D53F26C4-4094-4E31-A0DD-099CD9A6CF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Q49:Q54</xm:sqref>
        </x14:conditionalFormatting>
        <x14:conditionalFormatting xmlns:xm="http://schemas.microsoft.com/office/excel/2006/main">
          <x14:cfRule type="dataBar" id="{F8989007-8496-4BF9-8FB8-8ABD79091B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B8129D40-680B-4868-BAD9-5187D9A7683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AECBD8E6-0A7D-44F6-9C2A-B74CB1330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P56:R56</xm:sqref>
        </x14:conditionalFormatting>
        <x14:conditionalFormatting xmlns:xm="http://schemas.microsoft.com/office/excel/2006/main">
          <x14:cfRule type="dataBar" id="{677737C6-138D-476D-8C9D-59CAAC5A74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2021-07-10T13:47:17Z</dcterms:created>
  <dcterms:modified xsi:type="dcterms:W3CDTF">2021-07-14T10:56:03Z</dcterms:modified>
</cp:coreProperties>
</file>