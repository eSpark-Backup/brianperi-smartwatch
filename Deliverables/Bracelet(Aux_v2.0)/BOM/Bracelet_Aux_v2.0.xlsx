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BrianPeri-SmartWatch\Deliverables\Bracelet(Aux_v2.0)\BOM\"/>
    </mc:Choice>
  </mc:AlternateContent>
  <bookViews>
    <workbookView xWindow="0" yWindow="0" windowWidth="24000" windowHeight="11865"/>
  </bookViews>
  <sheets>
    <sheet name="Bracelet_Aux_v2.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L3" i="1"/>
  <c r="O4" i="1" l="1"/>
  <c r="O5" i="1"/>
  <c r="O3" i="1"/>
  <c r="O7" i="1" s="1"/>
  <c r="A4" i="1"/>
  <c r="A5" i="1" s="1"/>
  <c r="K4" i="1"/>
  <c r="Q4" i="1" s="1"/>
  <c r="K5" i="1"/>
  <c r="Q5" i="1" s="1"/>
  <c r="K3" i="1"/>
  <c r="Q3" i="1" s="1"/>
  <c r="Q6" i="1" l="1"/>
  <c r="Q7" i="1" s="1"/>
</calcChain>
</file>

<file path=xl/sharedStrings.xml><?xml version="1.0" encoding="utf-8"?>
<sst xmlns="http://schemas.openxmlformats.org/spreadsheetml/2006/main" count="51" uniqueCount="42">
  <si>
    <t>Description</t>
  </si>
  <si>
    <t>Designator</t>
  </si>
  <si>
    <t>Manufacturer</t>
  </si>
  <si>
    <t>0.1uF</t>
  </si>
  <si>
    <t>C1, C2</t>
  </si>
  <si>
    <t>CAP 0201</t>
  </si>
  <si>
    <t>GRM033R61E104KE14D</t>
  </si>
  <si>
    <t>Murata</t>
  </si>
  <si>
    <t>3 Pin FPC</t>
  </si>
  <si>
    <t>CONN FPC 3POS 0.5MM SMD R/A</t>
  </si>
  <si>
    <t>J1</t>
  </si>
  <si>
    <t>SMD PADS</t>
  </si>
  <si>
    <t>J2</t>
  </si>
  <si>
    <t>SMD PAD</t>
  </si>
  <si>
    <t>Bill of Material (BOM) for Brian Peri</t>
  </si>
  <si>
    <t>S. No.</t>
  </si>
  <si>
    <t>Components</t>
  </si>
  <si>
    <t>Footprint (Package)</t>
  </si>
  <si>
    <t>Manufacturer Part Number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</si>
  <si>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</si>
  <si>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</si>
  <si>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</si>
  <si>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</si>
  <si>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</si>
  <si>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</si>
  <si>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</si>
  <si>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</si>
  <si>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</si>
  <si>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Remarks</t>
  </si>
  <si>
    <t>Digikey</t>
  </si>
  <si>
    <t>Capacitor</t>
  </si>
  <si>
    <t>Connector</t>
  </si>
  <si>
    <t>---------</t>
  </si>
  <si>
    <t>DO NOT MOUNT</t>
  </si>
  <si>
    <t xml:space="preserve">Total Component Cost </t>
  </si>
  <si>
    <t>Single Board Cost</t>
  </si>
  <si>
    <t>Unit Cost (25 Boards)</t>
  </si>
  <si>
    <t>Total Cost (25)</t>
  </si>
  <si>
    <t xml:space="preserve">CAP CER 0.1UF 25V X5R 0201
</t>
  </si>
  <si>
    <t>------</t>
  </si>
  <si>
    <t>-----</t>
  </si>
  <si>
    <t>Quantity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</si>
</sst>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$&quot;#,##0.0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5" fillId="3" borderId="11" xfId="0" quotePrefix="1" applyFont="1" applyFill="1" applyBorder="1" applyAlignment="1">
      <alignment horizontal="center" vertical="center"/>
    </xf>
    <xf numFmtId="164" fontId="6" fillId="3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0" borderId="14" xfId="0" quotePrefix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5" fillId="3" borderId="17" xfId="0" quotePrefix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5" fillId="3" borderId="17" xfId="0" quotePrefix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6" fillId="3" borderId="19" xfId="0" applyNumberFormat="1" applyFont="1" applyFill="1" applyBorder="1" applyAlignment="1">
      <alignment horizontal="center" vertical="center"/>
    </xf>
    <xf numFmtId="164" fontId="5" fillId="3" borderId="19" xfId="0" quotePrefix="1" applyNumberFormat="1" applyFont="1" applyFill="1" applyBorder="1" applyAlignment="1">
      <alignment horizontal="center" vertical="center"/>
    </xf>
    <xf numFmtId="164" fontId="5" fillId="3" borderId="11" xfId="0" quotePrefix="1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0" fillId="4" borderId="18" xfId="0" applyFont="1" applyFill="1" applyBorder="1" applyAlignment="1">
      <alignment horizontal="center" wrapText="1"/>
    </xf>
    <xf numFmtId="0" fontId="10" fillId="4" borderId="0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6" fillId="0" borderId="21" xfId="0" applyNumberFormat="1" applyFont="1" applyBorder="1" applyAlignment="1">
      <alignment horizontal="center" vertical="center"/>
    </xf>
    <xf numFmtId="164" fontId="6" fillId="3" borderId="22" xfId="0" applyNumberFormat="1" applyFont="1" applyFill="1" applyBorder="1" applyAlignment="1">
      <alignment horizontal="center" vertical="center"/>
    </xf>
    <xf numFmtId="164" fontId="6" fillId="3" borderId="23" xfId="0" applyNumberFormat="1" applyFont="1" applyFill="1" applyBorder="1" applyAlignment="1">
      <alignment horizontal="center" vertical="center"/>
    </xf>
    <xf numFmtId="0" fontId="8" fillId="0" borderId="13" xfId="0" quotePrefix="1" applyFont="1" applyBorder="1" applyAlignment="1"/>
    <xf numFmtId="0" fontId="6" fillId="0" borderId="14" xfId="0" quotePrefix="1" applyFont="1" applyBorder="1" applyAlignment="1">
      <alignment horizontal="center" vertical="center"/>
    </xf>
    <xf numFmtId="0" fontId="5" fillId="3" borderId="10" xfId="0" quotePrefix="1" applyFont="1" applyFill="1" applyBorder="1"/>
    <xf numFmtId="0" fontId="5" fillId="3" borderId="16" xfId="0" quotePrefix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murata-electronics/GRM033R61E104KE14D/4904731?s=N4IgTCBcDaIOICUCyAGAzGhA2AjAURxQBYBpAogERA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workbookViewId="0">
      <selection activeCell="E17" sqref="E17"/>
    </sheetView>
  </sheetViews>
  <sheetFormatPr defaultRowHeight="15" x14ac:dyDescent="0.25"/>
  <cols>
    <col min="1" max="1" width="6.140625" bestFit="1" customWidth="1"/>
    <col min="2" max="2" width="14.42578125" customWidth="1"/>
    <col min="3" max="3" width="27.140625" bestFit="1" customWidth="1"/>
    <col min="4" max="4" width="14.42578125" customWidth="1"/>
    <col min="5" max="5" width="18.5703125" bestFit="1" customWidth="1"/>
    <col min="6" max="6" width="25.28515625" bestFit="1" customWidth="1"/>
    <col min="7" max="7" width="14.42578125" customWidth="1"/>
    <col min="10" max="10" width="19.42578125" bestFit="1" customWidth="1"/>
    <col min="11" max="11" width="10.140625" bestFit="1" customWidth="1"/>
    <col min="12" max="12" width="11.140625" bestFit="1" customWidth="1"/>
    <col min="14" max="14" width="11.5703125" bestFit="1" customWidth="1"/>
    <col min="15" max="15" width="12.140625" bestFit="1" customWidth="1"/>
    <col min="16" max="16" width="18.7109375" bestFit="1" customWidth="1"/>
    <col min="17" max="17" width="12.5703125" bestFit="1" customWidth="1"/>
    <col min="18" max="18" width="19.7109375" bestFit="1" customWidth="1"/>
    <col min="19" max="19" width="13.7109375" bestFit="1" customWidth="1"/>
    <col min="20" max="20" width="14" bestFit="1" customWidth="1"/>
  </cols>
  <sheetData>
    <row r="1" spans="1:20" ht="16.5" thickBot="1" x14ac:dyDescent="0.3">
      <c r="A1" s="26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8"/>
    </row>
    <row r="2" spans="1:20" ht="15.75" thickBot="1" x14ac:dyDescent="0.3">
      <c r="A2" s="1" t="s">
        <v>15</v>
      </c>
      <c r="B2" s="2" t="s">
        <v>16</v>
      </c>
      <c r="C2" s="2" t="s">
        <v>0</v>
      </c>
      <c r="D2" s="2" t="s">
        <v>1</v>
      </c>
      <c r="E2" s="2" t="s">
        <v>17</v>
      </c>
      <c r="F2" s="2" t="s">
        <v>18</v>
      </c>
      <c r="G2" s="2" t="s">
        <v>2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41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36</v>
      </c>
      <c r="S2" s="2" t="s">
        <v>37</v>
      </c>
      <c r="T2" s="2" t="s">
        <v>28</v>
      </c>
    </row>
    <row r="3" spans="1:20" ht="15.75" thickBot="1" x14ac:dyDescent="0.3">
      <c r="A3" s="33">
        <v>1</v>
      </c>
      <c r="B3" s="8" t="s">
        <v>30</v>
      </c>
      <c r="C3" s="38" t="s">
        <v>38</v>
      </c>
      <c r="D3" s="9" t="s">
        <v>4</v>
      </c>
      <c r="E3" s="9" t="s">
        <v>5</v>
      </c>
      <c r="F3" s="9" t="s">
        <v>6</v>
      </c>
      <c r="G3" s="9" t="s">
        <v>7</v>
      </c>
      <c r="H3" s="39" t="s">
        <v>39</v>
      </c>
      <c r="I3" s="9" t="s">
        <v>3</v>
      </c>
      <c r="J3" s="11">
        <v>2</v>
      </c>
      <c r="K3" s="10">
        <f>J3*5</f>
        <v>10</v>
      </c>
      <c r="L3" s="10">
        <f>J3*25</f>
        <v>50</v>
      </c>
      <c r="M3" s="12" t="s">
        <v>29</v>
      </c>
      <c r="N3" s="13">
        <v>0.1</v>
      </c>
      <c r="O3" s="19">
        <f>N3*J3</f>
        <v>0.2</v>
      </c>
      <c r="P3" s="13">
        <v>5.6000000000000001E-2</v>
      </c>
      <c r="Q3" s="19">
        <f>P3*K3</f>
        <v>0.56000000000000005</v>
      </c>
      <c r="R3" s="35">
        <v>3.04E-2</v>
      </c>
      <c r="S3" s="35">
        <f>R3*L3</f>
        <v>1.52</v>
      </c>
      <c r="T3" s="14"/>
    </row>
    <row r="4" spans="1:20" ht="15.75" thickBot="1" x14ac:dyDescent="0.3">
      <c r="A4" s="34">
        <f>A3+1</f>
        <v>2</v>
      </c>
      <c r="B4" s="29" t="s">
        <v>31</v>
      </c>
      <c r="C4" s="40" t="s">
        <v>9</v>
      </c>
      <c r="D4" s="6" t="s">
        <v>10</v>
      </c>
      <c r="E4" s="6" t="s">
        <v>8</v>
      </c>
      <c r="F4" s="6" t="s">
        <v>8</v>
      </c>
      <c r="G4" s="6" t="s">
        <v>39</v>
      </c>
      <c r="H4" s="6" t="s">
        <v>40</v>
      </c>
      <c r="I4" s="6" t="s">
        <v>8</v>
      </c>
      <c r="J4" s="5">
        <v>1</v>
      </c>
      <c r="K4" s="4">
        <f t="shared" ref="K4:K5" si="0">J4*5</f>
        <v>5</v>
      </c>
      <c r="L4" s="4"/>
      <c r="M4" s="6" t="s">
        <v>32</v>
      </c>
      <c r="N4" s="24">
        <v>0</v>
      </c>
      <c r="O4" s="7">
        <f>N4*J4</f>
        <v>0</v>
      </c>
      <c r="P4" s="24">
        <v>0</v>
      </c>
      <c r="Q4" s="7">
        <f>P4*K4</f>
        <v>0</v>
      </c>
      <c r="R4" s="36"/>
      <c r="S4" s="36"/>
      <c r="T4" s="25" t="s">
        <v>33</v>
      </c>
    </row>
    <row r="5" spans="1:20" ht="15.75" thickBot="1" x14ac:dyDescent="0.3">
      <c r="A5" s="33">
        <f>A4+1</f>
        <v>3</v>
      </c>
      <c r="B5" s="30"/>
      <c r="C5" s="41" t="s">
        <v>11</v>
      </c>
      <c r="D5" s="17" t="s">
        <v>12</v>
      </c>
      <c r="E5" s="17" t="s">
        <v>13</v>
      </c>
      <c r="F5" s="17" t="s">
        <v>13</v>
      </c>
      <c r="G5" s="17" t="s">
        <v>40</v>
      </c>
      <c r="H5" s="17" t="s">
        <v>40</v>
      </c>
      <c r="I5" s="17" t="s">
        <v>11</v>
      </c>
      <c r="J5" s="16">
        <v>1</v>
      </c>
      <c r="K5" s="15">
        <f t="shared" si="0"/>
        <v>5</v>
      </c>
      <c r="L5" s="15"/>
      <c r="M5" s="17" t="s">
        <v>32</v>
      </c>
      <c r="N5" s="20">
        <v>0</v>
      </c>
      <c r="O5" s="22">
        <f>N5*J5</f>
        <v>0</v>
      </c>
      <c r="P5" s="23">
        <v>0</v>
      </c>
      <c r="Q5" s="22">
        <f>P5*K5</f>
        <v>0</v>
      </c>
      <c r="R5" s="37"/>
      <c r="S5" s="37"/>
      <c r="T5" s="18" t="s">
        <v>33</v>
      </c>
    </row>
    <row r="6" spans="1:20" ht="19.5" thickBot="1" x14ac:dyDescent="0.35">
      <c r="J6" s="31" t="s">
        <v>34</v>
      </c>
      <c r="K6" s="31"/>
      <c r="L6" s="31"/>
      <c r="M6" s="31"/>
      <c r="N6" s="31"/>
      <c r="O6" s="3"/>
      <c r="P6" s="3"/>
      <c r="Q6" s="21">
        <f>SUM(Q3:Q5)</f>
        <v>0.56000000000000005</v>
      </c>
      <c r="R6" s="21"/>
      <c r="S6" s="21"/>
    </row>
    <row r="7" spans="1:20" ht="18.75" x14ac:dyDescent="0.3">
      <c r="J7" s="32" t="s">
        <v>35</v>
      </c>
      <c r="K7" s="32"/>
      <c r="L7" s="32"/>
      <c r="M7" s="32"/>
      <c r="N7" s="32"/>
      <c r="O7" s="21">
        <f>SUM(O3:O5)</f>
        <v>0.2</v>
      </c>
      <c r="P7" s="3"/>
      <c r="Q7" s="21">
        <f>Q6/5</f>
        <v>0.11200000000000002</v>
      </c>
      <c r="R7" s="21"/>
      <c r="S7" s="21"/>
    </row>
  </sheetData>
  <mergeCells count="4">
    <mergeCell ref="A1:T1"/>
    <mergeCell ref="B4:B5"/>
    <mergeCell ref="J6:N6"/>
    <mergeCell ref="J7:N7"/>
  </mergeCells>
  <conditionalFormatting sqref="O7:S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{CDCCD187-1543-430C-8D34-F8FF708655FE}</x14:id>
        </ext>
      </extLst>
    </cfRule>
  </conditionalFormatting>
  <conditionalFormatting sqref="O3:O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{1F3C9499-BAF5-480E-B6DC-C251739A2329}</x14:id>
        </ext>
      </extLst>
    </cfRule>
  </conditionalFormatting>
  <conditionalFormatting sqref="Q3:S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{BEF2DB92-627B-47B5-95B1-BC0A89D36722}</x14:id>
        </ext>
      </extLst>
    </cfRule>
  </conditionalFormatting>
  <conditionalFormatting sqref="J3:L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M3" r:id="rId1"/>
  </hyperlinks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CCD187-1543-430C-8D34-F8FF708655F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O7:S7</xm:sqref>
        </x14:conditionalFormatting>
        <x14:conditionalFormatting xmlns:xm="http://schemas.microsoft.com/office/excel/2006/main">
          <x14:cfRule type="dataBar" id="{1F3C9499-BAF5-480E-B6DC-C251739A23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O3:O5</xm:sqref>
        </x14:conditionalFormatting>
        <x14:conditionalFormatting xmlns:xm="http://schemas.microsoft.com/office/excel/2006/main">
          <x14:cfRule type="dataBar" id="{BEF2DB92-627B-47B5-95B1-BC0A89D367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Q3:S5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Bracelet_Aux_v2.0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2021-07-10T12:52:29Z</dcterms:created>
  <dcterms:modified xsi:type="dcterms:W3CDTF">2021-07-26T11:44:44Z</dcterms:modified>
</cp:coreProperties>
</file>