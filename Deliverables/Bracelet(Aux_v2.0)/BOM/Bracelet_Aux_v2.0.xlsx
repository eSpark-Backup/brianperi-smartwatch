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E:\GitHub\BrianPeri-SmartWatch\Deliverables\Bracelet(Aux_v2.0)\_Deliverables\BOM\"/>
    </mc:Choice>
  </mc:AlternateContent>
  <bookViews>
    <workbookView xWindow="0" yWindow="0" windowWidth="24000" windowHeight="11865"/>
  </bookViews>
  <sheets>
    <sheet name="Bracelet_Aux_v2.0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1" l="1"/>
  <c r="P6" i="1"/>
  <c r="N7" i="1"/>
  <c r="P4" i="1"/>
  <c r="P5" i="1"/>
  <c r="N4" i="1"/>
  <c r="N5" i="1"/>
  <c r="P3" i="1"/>
  <c r="N3" i="1"/>
  <c r="A4" i="1"/>
  <c r="A5" i="1" s="1"/>
  <c r="K4" i="1"/>
  <c r="K5" i="1"/>
  <c r="K3" i="1"/>
</calcChain>
</file>

<file path=xl/sharedStrings.xml><?xml version="1.0" encoding="utf-8"?>
<sst xmlns="http://schemas.openxmlformats.org/spreadsheetml/2006/main" count="45" uniqueCount="38">
  <si>
    <t>Description</t>
  </si>
  <si>
    <t>Designator</t>
  </si>
  <si>
    <t>Manufacturer</t>
  </si>
  <si>
    <t>0.1uF</t>
  </si>
  <si>
    <t>Multilayer Ceramic Capacitors MLCC - SMD/SMT 0201 0.1uF 25volts X5R 10%</t>
  </si>
  <si>
    <t>C1, C2</t>
  </si>
  <si>
    <t>CAP 0201</t>
  </si>
  <si>
    <t>GRM033R61E104KE14D</t>
  </si>
  <si>
    <t>Murata</t>
  </si>
  <si>
    <t>3 Pin FPC</t>
  </si>
  <si>
    <t>CONN FPC 3POS 0.5MM SMD R/A</t>
  </si>
  <si>
    <t>J1</t>
  </si>
  <si>
    <t/>
  </si>
  <si>
    <t>SMD PADS</t>
  </si>
  <si>
    <t>J2</t>
  </si>
  <si>
    <t>SMD PAD</t>
  </si>
  <si>
    <t>Bill of Material (BOM) for Brian Peri</t>
  </si>
  <si>
    <t>S. No.</t>
  </si>
  <si>
    <t>Components</t>
  </si>
  <si>
    <t>Footprint (Package)</t>
  </si>
  <si>
    <t>Manufacturer Part Number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</si>
  <si>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</si>
  <si>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</si>
  <si>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</si>
  <si>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</si>
  <si>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</si>
  <si>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</si>
  <si>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</si>
  <si>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</si>
  <si>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</si>
  <si>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</si>
  <si>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Digikey</t>
  </si>
  <si>
    <t>Capacitor</t>
  </si>
  <si>
    <t>Connector</t>
  </si>
  <si>
    <t>---------</t>
  </si>
  <si>
    <t>DO NOT MOUNT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</si>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</sst>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8" formatCode="&quot;$&quot;#,##0.00"/>
    <numFmt numFmtId="171" formatCode="&quot;$&quot;#,##0.0000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/>
    <xf numFmtId="0" fontId="2" fillId="0" borderId="9" xfId="0" applyFont="1" applyBorder="1" applyAlignment="1">
      <alignment horizontal="center" vertical="center"/>
    </xf>
    <xf numFmtId="0" fontId="8" fillId="3" borderId="10" xfId="0" quotePrefix="1" applyFont="1" applyFill="1" applyBorder="1"/>
    <xf numFmtId="0" fontId="8" fillId="3" borderId="11" xfId="0" quotePrefix="1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168" fontId="6" fillId="3" borderId="11" xfId="0" applyNumberFormat="1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8" fillId="0" borderId="13" xfId="0" quotePrefix="1" applyFont="1" applyBorder="1"/>
    <xf numFmtId="0" fontId="8" fillId="0" borderId="14" xfId="0" quotePrefix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171" fontId="6" fillId="0" borderId="14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8" fillId="3" borderId="16" xfId="0" quotePrefix="1" applyFont="1" applyFill="1" applyBorder="1"/>
    <xf numFmtId="0" fontId="8" fillId="3" borderId="17" xfId="0" quotePrefix="1" applyFont="1" applyFill="1" applyBorder="1" applyAlignment="1">
      <alignment horizontal="center" vertical="center"/>
    </xf>
    <xf numFmtId="0" fontId="6" fillId="3" borderId="17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5" fillId="3" borderId="17" xfId="0" quotePrefix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wrapText="1"/>
    </xf>
    <xf numFmtId="0" fontId="10" fillId="4" borderId="0" xfId="0" applyFont="1" applyFill="1" applyBorder="1" applyAlignment="1">
      <alignment horizontal="center" wrapText="1"/>
    </xf>
    <xf numFmtId="168" fontId="6" fillId="0" borderId="14" xfId="0" applyNumberFormat="1" applyFont="1" applyBorder="1" applyAlignment="1">
      <alignment horizontal="center" vertical="center"/>
    </xf>
    <xf numFmtId="168" fontId="5" fillId="3" borderId="17" xfId="0" quotePrefix="1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6" fillId="3" borderId="19" xfId="0" applyNumberFormat="1" applyFont="1" applyFill="1" applyBorder="1" applyAlignment="1">
      <alignment horizontal="center" vertical="center"/>
    </xf>
    <xf numFmtId="168" fontId="5" fillId="3" borderId="19" xfId="0" quotePrefix="1" applyNumberFormat="1" applyFont="1" applyFill="1" applyBorder="1" applyAlignment="1">
      <alignment horizontal="center" vertical="center"/>
    </xf>
    <xf numFmtId="168" fontId="5" fillId="3" borderId="11" xfId="0" quotePrefix="1" applyNumberFormat="1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murata-electronics/GRM033R61E104KE14D/4904731?s=N4IgTCBcDaIOICUCyAGAzGhA2AjAURxQBYBpAog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tabSelected="1" workbookViewId="0">
      <selection activeCell="H14" sqref="H14"/>
    </sheetView>
  </sheetViews>
  <sheetFormatPr defaultRowHeight="15" x14ac:dyDescent="0.25"/>
  <cols>
    <col min="1" max="1" width="6.140625" bestFit="1" customWidth="1"/>
    <col min="2" max="7" width="14.42578125" customWidth="1"/>
    <col min="13" max="13" width="11.5703125" bestFit="1" customWidth="1"/>
    <col min="14" max="14" width="12.140625" bestFit="1" customWidth="1"/>
    <col min="15" max="15" width="18.7109375" bestFit="1" customWidth="1"/>
    <col min="16" max="16" width="12.5703125" bestFit="1" customWidth="1"/>
    <col min="17" max="17" width="14" bestFit="1" customWidth="1"/>
  </cols>
  <sheetData>
    <row r="1" spans="1:17" ht="16.5" thickBot="1" x14ac:dyDescent="0.3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 spans="1:17" ht="15.75" thickBot="1" x14ac:dyDescent="0.3">
      <c r="A2" s="4" t="s">
        <v>17</v>
      </c>
      <c r="B2" s="5" t="s">
        <v>18</v>
      </c>
      <c r="C2" s="5" t="s">
        <v>0</v>
      </c>
      <c r="D2" s="5" t="s">
        <v>1</v>
      </c>
      <c r="E2" s="5" t="s">
        <v>19</v>
      </c>
      <c r="F2" s="5" t="s">
        <v>20</v>
      </c>
      <c r="G2" s="5" t="s">
        <v>2</v>
      </c>
      <c r="H2" s="5" t="s">
        <v>21</v>
      </c>
      <c r="I2" s="5" t="s">
        <v>22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5" t="s">
        <v>28</v>
      </c>
      <c r="P2" s="5" t="s">
        <v>29</v>
      </c>
      <c r="Q2" s="5" t="s">
        <v>30</v>
      </c>
    </row>
    <row r="3" spans="1:17" ht="15.75" thickBot="1" x14ac:dyDescent="0.3">
      <c r="A3" s="7">
        <v>1</v>
      </c>
      <c r="B3" s="17" t="s">
        <v>32</v>
      </c>
      <c r="C3" s="18" t="s">
        <v>4</v>
      </c>
      <c r="D3" s="19" t="s">
        <v>5</v>
      </c>
      <c r="E3" s="19" t="s">
        <v>6</v>
      </c>
      <c r="F3" s="19" t="s">
        <v>7</v>
      </c>
      <c r="G3" s="19" t="s">
        <v>8</v>
      </c>
      <c r="H3" s="20"/>
      <c r="I3" s="19" t="s">
        <v>3</v>
      </c>
      <c r="J3" s="21">
        <v>2</v>
      </c>
      <c r="K3" s="20">
        <f>J3*5</f>
        <v>10</v>
      </c>
      <c r="L3" s="22" t="s">
        <v>31</v>
      </c>
      <c r="M3" s="23">
        <v>0.1</v>
      </c>
      <c r="N3" s="33">
        <f>M3*J3</f>
        <v>0.2</v>
      </c>
      <c r="O3" s="23">
        <v>5.6000000000000001E-2</v>
      </c>
      <c r="P3" s="33">
        <f>O3*K3</f>
        <v>0.56000000000000005</v>
      </c>
      <c r="Q3" s="24"/>
    </row>
    <row r="4" spans="1:17" ht="15.75" thickBot="1" x14ac:dyDescent="0.3">
      <c r="A4" s="9">
        <f>A3+1</f>
        <v>2</v>
      </c>
      <c r="B4" s="10" t="s">
        <v>33</v>
      </c>
      <c r="C4" s="11" t="s">
        <v>10</v>
      </c>
      <c r="D4" s="12" t="s">
        <v>11</v>
      </c>
      <c r="E4" s="12" t="s">
        <v>9</v>
      </c>
      <c r="F4" s="12" t="s">
        <v>9</v>
      </c>
      <c r="G4" s="12" t="s">
        <v>12</v>
      </c>
      <c r="H4" s="13"/>
      <c r="I4" s="12" t="s">
        <v>9</v>
      </c>
      <c r="J4" s="14">
        <v>1</v>
      </c>
      <c r="K4" s="13">
        <f t="shared" ref="K4:K5" si="0">J4*5</f>
        <v>5</v>
      </c>
      <c r="L4" s="15" t="s">
        <v>34</v>
      </c>
      <c r="M4" s="38">
        <v>0</v>
      </c>
      <c r="N4" s="16">
        <f t="shared" ref="N4:N5" si="1">M4*J4</f>
        <v>0</v>
      </c>
      <c r="O4" s="38">
        <v>0</v>
      </c>
      <c r="P4" s="16">
        <f t="shared" ref="P4:P5" si="2">O4*K4</f>
        <v>0</v>
      </c>
      <c r="Q4" s="39" t="s">
        <v>35</v>
      </c>
    </row>
    <row r="5" spans="1:17" ht="15.75" thickBot="1" x14ac:dyDescent="0.3">
      <c r="A5" s="7">
        <f>A4+1</f>
        <v>3</v>
      </c>
      <c r="B5" s="8"/>
      <c r="C5" s="25" t="s">
        <v>13</v>
      </c>
      <c r="D5" s="26" t="s">
        <v>14</v>
      </c>
      <c r="E5" s="26" t="s">
        <v>15</v>
      </c>
      <c r="F5" s="26" t="s">
        <v>15</v>
      </c>
      <c r="G5" s="26" t="s">
        <v>12</v>
      </c>
      <c r="H5" s="27"/>
      <c r="I5" s="26" t="s">
        <v>13</v>
      </c>
      <c r="J5" s="28">
        <v>1</v>
      </c>
      <c r="K5" s="27">
        <f t="shared" si="0"/>
        <v>5</v>
      </c>
      <c r="L5" s="29" t="s">
        <v>34</v>
      </c>
      <c r="M5" s="34">
        <v>0</v>
      </c>
      <c r="N5" s="36">
        <f t="shared" si="1"/>
        <v>0</v>
      </c>
      <c r="O5" s="37">
        <v>0</v>
      </c>
      <c r="P5" s="36">
        <f t="shared" si="2"/>
        <v>0</v>
      </c>
      <c r="Q5" s="30" t="s">
        <v>35</v>
      </c>
    </row>
    <row r="6" spans="1:17" ht="19.5" thickBot="1" x14ac:dyDescent="0.35">
      <c r="J6" s="31" t="s">
        <v>36</v>
      </c>
      <c r="K6" s="31"/>
      <c r="L6" s="31"/>
      <c r="M6" s="31"/>
      <c r="N6" s="6"/>
      <c r="O6" s="6"/>
      <c r="P6" s="35">
        <f>SUM(P3:P5)</f>
        <v>0.56000000000000005</v>
      </c>
    </row>
    <row r="7" spans="1:17" ht="18.75" x14ac:dyDescent="0.3">
      <c r="J7" s="32" t="s">
        <v>37</v>
      </c>
      <c r="K7" s="32"/>
      <c r="L7" s="32"/>
      <c r="M7" s="32"/>
      <c r="N7" s="35">
        <f>SUM(N3:N5)</f>
        <v>0.2</v>
      </c>
      <c r="O7" s="6"/>
      <c r="P7" s="35">
        <f>P6/5</f>
        <v>0.11200000000000002</v>
      </c>
    </row>
  </sheetData>
  <mergeCells count="4">
    <mergeCell ref="A1:Q1"/>
    <mergeCell ref="B4:B5"/>
    <mergeCell ref="J6:M6"/>
    <mergeCell ref="J7:M7"/>
  </mergeCells>
  <conditionalFormatting sqref="N7:P7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{CDCCD187-1543-430C-8D34-F8FF708655FE}</x14:id>
        </ext>
      </extLst>
    </cfRule>
  </conditionalFormatting>
  <conditionalFormatting sqref="J3:K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{1F3C9499-BAF5-480E-B6DC-C251739A2329}</x14:id>
        </ext>
      </extLst>
    </cfRule>
  </conditionalFormatting>
  <conditionalFormatting sqref="P3:P5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{BEF2DB92-627B-47B5-95B1-BC0A89D36722}</x14:id>
        </ext>
      </extLst>
    </cfRule>
  </conditionalFormatting>
  <hyperlinks>
    <hyperlink ref="L3" r:id="rId1"/>
  </hyperlinks>
  <pageMargins left="0.7" right="0.7" top="0.75" bottom="0.75" header="0.3" footer="0.3"/>
  <pageSetup orientation="portrait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CCD187-1543-430C-8D34-F8FF708655FE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N7:P7</xm:sqref>
        </x14:conditionalFormatting>
        <x14:conditionalFormatting xmlns:xm="http://schemas.microsoft.com/office/excel/2006/main">
          <x14:cfRule type="dataBar" id="{1F3C9499-BAF5-480E-B6DC-C251739A232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BEF2DB92-627B-47B5-95B1-BC0A89D3672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P3:P5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Bracelet_Aux_v2.0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SIDRA</cp:lastModifiedBy>
  <dcterms:created xsi:type="dcterms:W3CDTF">2021-07-10T12:52:29Z</dcterms:created>
  <dcterms:modified xsi:type="dcterms:W3CDTF">2021-07-10T13:02:39Z</dcterms:modified>
</cp:coreProperties>
</file>