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itHub\BrianPeri-SmartWatch\Deliverables\Bracelet(Main)\_Deliverables\BOM\"/>
    </mc:Choice>
  </mc:AlternateContent>
  <bookViews>
    <workbookView xWindow="0" yWindow="0" windowWidth="17970" windowHeight="7890"/>
  </bookViews>
  <sheets>
    <sheet name="Brac_PCB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4" i="1" l="1"/>
  <c r="P56" i="1" l="1"/>
  <c r="P55" i="1"/>
  <c r="N56" i="1"/>
  <c r="A5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3" i="1"/>
  <c r="A47" i="1" l="1"/>
  <c r="A48" i="1" s="1"/>
  <c r="A49" i="1" s="1"/>
  <c r="A50" i="1" s="1"/>
  <c r="A51" i="1" s="1"/>
  <c r="A52" i="1" s="1"/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9" i="1"/>
  <c r="K50" i="1"/>
  <c r="K48" i="1"/>
  <c r="K47" i="1"/>
  <c r="K51" i="1"/>
  <c r="K52" i="1"/>
  <c r="K3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l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</calcChain>
</file>

<file path=xl/sharedStrings.xml><?xml version="1.0" encoding="utf-8"?>
<sst xmlns="http://schemas.openxmlformats.org/spreadsheetml/2006/main" count="425" uniqueCount="292">
  <si>
    <t>Description</t>
  </si>
  <si>
    <t>Designator</t>
  </si>
  <si>
    <t>Manufacturer Part Number</t>
  </si>
  <si>
    <t>0.1uF</t>
  </si>
  <si>
    <t>Multilayer Ceramic Capacitors MLCC - SMD/SMT 0201 0.1uF 25volts X5R 10%, CAP CER 0.1UF 25V X5R 0201</t>
  </si>
  <si>
    <t>C1, C2, C3, C4, C5, C6, C9, C13, C14, C15, C16, C17, C18, C21, C22, C23, C27, C33, C35, C41, C42, C45, C48, CU1</t>
  </si>
  <si>
    <t>CAP 0201</t>
  </si>
  <si>
    <t>GRM033R61E104KE14D</t>
  </si>
  <si>
    <t>2pF</t>
  </si>
  <si>
    <t>CAP CER 2PF 50V C0G/NP0 0603</t>
  </si>
  <si>
    <t>C7</t>
  </si>
  <si>
    <t>Cap0603</t>
  </si>
  <si>
    <t>CML0603C0G2R0CT50V</t>
  </si>
  <si>
    <t>2.7pF</t>
  </si>
  <si>
    <t>CAP CER 2.7PF 50V C0G/NP0 0603</t>
  </si>
  <si>
    <t>C8</t>
  </si>
  <si>
    <t>CML0603C0G2R7CT50V</t>
  </si>
  <si>
    <t>10uF</t>
  </si>
  <si>
    <t>10uF ±20% 10V X5R 0402 Multilayer Ceramic Capacitors MLCC - SMD/SMT RoHS</t>
  </si>
  <si>
    <t>C10, C19, C24, C29, C39, C40</t>
  </si>
  <si>
    <t>Cap 0402</t>
  </si>
  <si>
    <t>GRM155R61A106ME44D</t>
  </si>
  <si>
    <t>1uF</t>
  </si>
  <si>
    <t>Mlcc 0201 X5R1UF16V 20% T: 0.39MM</t>
  </si>
  <si>
    <t>C11, C12, C20, C28, CU2</t>
  </si>
  <si>
    <t>CL03A105MO3NRNC</t>
  </si>
  <si>
    <t>22uF</t>
  </si>
  <si>
    <t>CAP CER 22UF 16V X5R 0805</t>
  </si>
  <si>
    <t>C25</t>
  </si>
  <si>
    <t>Cap0805</t>
  </si>
  <si>
    <t>CL21A226MOQNNNE</t>
  </si>
  <si>
    <t>Cap Ceramic Monolithic 22uF 10VDC 20% SMD Paper T/R</t>
  </si>
  <si>
    <t>C26, C30, C31</t>
  </si>
  <si>
    <t>GRT188R61A226ME13D</t>
  </si>
  <si>
    <t>4.7uF</t>
  </si>
  <si>
    <t>Cap Ceramic 4.7uF 16V X5R 20% SMD 0402 85C T/R</t>
  </si>
  <si>
    <t>C32, C34, C46, C47</t>
  </si>
  <si>
    <t>CL05A475MO5NUNC</t>
  </si>
  <si>
    <t>2.2uF</t>
  </si>
  <si>
    <t>CAP CER 2.2UF 10V X5R 0201</t>
  </si>
  <si>
    <t>C36, C38</t>
  </si>
  <si>
    <t>GRM033R61A225ME47D</t>
  </si>
  <si>
    <t>47nF</t>
  </si>
  <si>
    <t>CAP SMD .047uF 16V 0201</t>
  </si>
  <si>
    <t>C37</t>
  </si>
  <si>
    <t>GRM033R61C473KE84D</t>
  </si>
  <si>
    <t>PMEG3010ER,115</t>
  </si>
  <si>
    <t>DIODE SCHOTTKY 30V 1A SOD123W</t>
  </si>
  <si>
    <t>D1</t>
  </si>
  <si>
    <t>SOD123W</t>
  </si>
  <si>
    <t>PMEG2010ET,215</t>
  </si>
  <si>
    <t>DIODE SCHOTTKY 20V 1A TO236AB</t>
  </si>
  <si>
    <t>D2</t>
  </si>
  <si>
    <t>U.FL-R-SMT-1(80)</t>
  </si>
  <si>
    <t>CONN U.FL RCPT STR 50 OHM SMD</t>
  </si>
  <si>
    <t>J1</t>
  </si>
  <si>
    <t>20 Pin FPC</t>
  </si>
  <si>
    <t>CONN FPC 20POS 0.5MM SMD R/A</t>
  </si>
  <si>
    <t>J2</t>
  </si>
  <si>
    <t>3 Pin FPC</t>
  </si>
  <si>
    <t>CONN FPC 3POS 0.5MM SMD R/A</t>
  </si>
  <si>
    <t>J3, J4</t>
  </si>
  <si>
    <t>TC2030-IDC</t>
  </si>
  <si>
    <t>CABLE ADAPTER 6 POS</t>
  </si>
  <si>
    <t>J5</t>
  </si>
  <si>
    <t>HTP-CON-M411H</t>
  </si>
  <si>
    <t>Straight 4 pin magnetic data connector, stably working, high quality magnetic connectors</t>
  </si>
  <si>
    <t>J6</t>
  </si>
  <si>
    <t>2.7nH</t>
  </si>
  <si>
    <t>FIXED IND 2.7NH 800MA 80MOHM SMD</t>
  </si>
  <si>
    <t>L1</t>
  </si>
  <si>
    <t>L-15W2N7SV4E</t>
  </si>
  <si>
    <t>MS0420-100M</t>
  </si>
  <si>
    <t>10uH ±20% 1.6A 230mO SMD,4.75x4.2x2mm Inductors (SMD) RoHS</t>
  </si>
  <si>
    <t>L2</t>
  </si>
  <si>
    <t>4.7uH</t>
  </si>
  <si>
    <t>FIXED IND 4.7UH 5A 52 MOHM SMD</t>
  </si>
  <si>
    <t>L3</t>
  </si>
  <si>
    <t>AMDLA4530Q-4R7MT</t>
  </si>
  <si>
    <t>1uH</t>
  </si>
  <si>
    <t>Inductor Power Shielded Wirewound 1uH 20% 1MHz Metal 2.7A 0.057Ohm DCR 0806 T/R</t>
  </si>
  <si>
    <t>L4</t>
  </si>
  <si>
    <t>IND  0806</t>
  </si>
  <si>
    <t>DFE201610E-1R0M=P2</t>
  </si>
  <si>
    <t>16-213/GHC-YR1S1/3T</t>
  </si>
  <si>
    <t>Green 520~535nm 0402 Light Emitting Diodes (LED) RoHS</t>
  </si>
  <si>
    <t>LED1, LED2</t>
  </si>
  <si>
    <t>LED 0402</t>
  </si>
  <si>
    <t>Test Point</t>
  </si>
  <si>
    <t>Test Point ON</t>
  </si>
  <si>
    <t>P2</t>
  </si>
  <si>
    <t>TEST POINT</t>
  </si>
  <si>
    <t>UMH3NTN</t>
  </si>
  <si>
    <t>TRANS 2NPN PREBIAS 0.15W UMT6</t>
  </si>
  <si>
    <t>Q1</t>
  </si>
  <si>
    <t>SOT-363</t>
  </si>
  <si>
    <t>ZVN3310FTA</t>
  </si>
  <si>
    <t>MOSFET N-CH 100V .1A SOT23-3</t>
  </si>
  <si>
    <t>Q2</t>
  </si>
  <si>
    <t>SOT-23</t>
  </si>
  <si>
    <t>10K</t>
  </si>
  <si>
    <t>10kO ±1% 1/20W ±200ppm/? 0201 Chip Resistor - Surface Mount RoHS</t>
  </si>
  <si>
    <t>R1, R3, R4, R5, R6, R10</t>
  </si>
  <si>
    <t>Res-0201</t>
  </si>
  <si>
    <t>CR0201F10K0Q15Z</t>
  </si>
  <si>
    <t>1.2K</t>
  </si>
  <si>
    <t>Chip Resistor Automotive Grade Thick Film 0201 1.2kOhm 5% Paper T/R</t>
  </si>
  <si>
    <t>R2</t>
  </si>
  <si>
    <t>AC0201JR-071K2L</t>
  </si>
  <si>
    <t>47K</t>
  </si>
  <si>
    <t>GENERAL 0201 11% REEL (7INCH)</t>
  </si>
  <si>
    <t>R7</t>
  </si>
  <si>
    <t>RC0201FR-0747KL</t>
  </si>
  <si>
    <t>1.4M</t>
  </si>
  <si>
    <t>1.4MO ±1% 1/20W ±200ppm/? 0201 Chip Resistor - Surface Mount RoHS</t>
  </si>
  <si>
    <t>R8</t>
  </si>
  <si>
    <t>0201WMF1404TEE</t>
  </si>
  <si>
    <t>71.5K</t>
  </si>
  <si>
    <t>71.5kO ±1% 0.05W ±200ppm/? 0201 Chip Resistor - Surface Mount RoHS</t>
  </si>
  <si>
    <t>R9</t>
  </si>
  <si>
    <t>0201WMF7152TEE</t>
  </si>
  <si>
    <t>95.3K</t>
  </si>
  <si>
    <t>Res 95.3K Ohm 1% 1/20W 0201</t>
  </si>
  <si>
    <t>R11</t>
  </si>
  <si>
    <t>WR02X9532FAL</t>
  </si>
  <si>
    <t>13K</t>
  </si>
  <si>
    <t>13kO ±5% 1/20W ±200ppm/? 0201 Chip Resistor - Surface Mount RoHS</t>
  </si>
  <si>
    <t>R12</t>
  </si>
  <si>
    <t>0201WMJ0133TEE</t>
  </si>
  <si>
    <t>1M</t>
  </si>
  <si>
    <t>Res Thick Film 0201 1M Ohm 5% 0.05W(1/20W) ±200ppm/C Molded SMD Paper T/R</t>
  </si>
  <si>
    <t>R13, R16</t>
  </si>
  <si>
    <t>WR02X105JAL</t>
  </si>
  <si>
    <t>1K</t>
  </si>
  <si>
    <t>YAGEO - RC0201FR-071KL - RES, 1K, 1%, 0.05W, 0201, THICK FILM</t>
  </si>
  <si>
    <t>R14</t>
  </si>
  <si>
    <t>RC0201FR-071KL</t>
  </si>
  <si>
    <t>13.3K</t>
  </si>
  <si>
    <t>RES SMD 13.3K  1/20W 0201</t>
  </si>
  <si>
    <t>R15</t>
  </si>
  <si>
    <t>0201WMF1332TEE</t>
  </si>
  <si>
    <t>NTC Thermistors 0201</t>
  </si>
  <si>
    <t>R17</t>
  </si>
  <si>
    <t>NCP03XH103F05RL</t>
  </si>
  <si>
    <t>21K</t>
  </si>
  <si>
    <t>Res SMD 21K Ohm 1% 1/20W 0201</t>
  </si>
  <si>
    <t>R18</t>
  </si>
  <si>
    <t>AC0201FR-0721KL</t>
  </si>
  <si>
    <t>4.32K</t>
  </si>
  <si>
    <t>Thick Film Resistors - SMD 4.32K OHM 1%</t>
  </si>
  <si>
    <t>R19</t>
  </si>
  <si>
    <t>RK73H1HTTC4321F</t>
  </si>
  <si>
    <t>Solder Bridge</t>
  </si>
  <si>
    <t>Solder Bridge ON</t>
  </si>
  <si>
    <t>SB1, SB2, SB3, SB4, SB5, SB6, SB7, SB8, SB9, SB10, SB11, SB12, SB13, SB14</t>
  </si>
  <si>
    <t>B3U-1000P</t>
  </si>
  <si>
    <t>SWITCH TACTILE SPST-NO 0.05A 12V</t>
  </si>
  <si>
    <t>SW1</t>
  </si>
  <si>
    <t>2450AT18A100E</t>
  </si>
  <si>
    <t>2.4GHz Chip RF Antenna 2.4GHz ~ 2.5GHz 0.5dBi Solder Surface Mount</t>
  </si>
  <si>
    <t>U</t>
  </si>
  <si>
    <t>ESP32-PICO-D4</t>
  </si>
  <si>
    <t>RX TXRX MOD WIFI SURFACE MOUNT</t>
  </si>
  <si>
    <t>U2</t>
  </si>
  <si>
    <t>48-SMD Module</t>
  </si>
  <si>
    <t>LY68L6400SLIT</t>
  </si>
  <si>
    <t>Volatile 64Mb (8M x 8) SPI/ QPI 2.7V ~ 3.6V SOP-8_150mil RAM RoHS</t>
  </si>
  <si>
    <t>U3</t>
  </si>
  <si>
    <t>SOP-8</t>
  </si>
  <si>
    <t>ICM-20649</t>
  </si>
  <si>
    <t>WIDE-FULL SCALE RANGE 6-AXIS MEM</t>
  </si>
  <si>
    <t>U4</t>
  </si>
  <si>
    <t>24-QFN (3x3)</t>
  </si>
  <si>
    <t>AT42QT1011-MAHR</t>
  </si>
  <si>
    <t>IC SENSR TOUCH/PROX 1CH 8-UDFN</t>
  </si>
  <si>
    <t>U5</t>
  </si>
  <si>
    <t>8-UDFN</t>
  </si>
  <si>
    <t>SY7304DBC</t>
  </si>
  <si>
    <t>33V 4A DFN-10 DC-DC Converters RoHS</t>
  </si>
  <si>
    <t>U6</t>
  </si>
  <si>
    <t>DFN-10</t>
  </si>
  <si>
    <t>AX5523CA</t>
  </si>
  <si>
    <t>Step-Up Positive Adjustable 1 2A 1.2MHz SOT-23-6 DC-DC Converters RoHS</t>
  </si>
  <si>
    <t>U7</t>
  </si>
  <si>
    <t>SOT-23-6</t>
  </si>
  <si>
    <t>MIC2004-0.5YM5-TR</t>
  </si>
  <si>
    <t>IC PWR SWITCH P-CHAN 1:1 SOT23-5</t>
  </si>
  <si>
    <t>U8</t>
  </si>
  <si>
    <t>SOT-23-5</t>
  </si>
  <si>
    <t>AP7361C-33FGE-7</t>
  </si>
  <si>
    <t>IC REG LINEAR 3.3V 1A UDFN3030-8</t>
  </si>
  <si>
    <t>U9</t>
  </si>
  <si>
    <t>U-DFN3030-8</t>
  </si>
  <si>
    <t>BQ25303JRTER</t>
  </si>
  <si>
    <t>STANDALONE 1-CELL 17-V, 3.0-A BA</t>
  </si>
  <si>
    <t>U10</t>
  </si>
  <si>
    <t>16-WQFN (3x3)</t>
  </si>
  <si>
    <t>S. No.</t>
  </si>
  <si>
    <t>Components</t>
  </si>
  <si>
    <t>Footprint (Package)</t>
  </si>
  <si>
    <t>Manufacturer</t>
  </si>
  <si>
    <t>Alternate</t>
  </si>
  <si>
    <t>Value</t>
  </si>
  <si>
    <t>Quantity (Per Board)</t>
  </si>
  <si>
    <t>Quantity 5</t>
  </si>
  <si>
    <t>DigiKey Link</t>
  </si>
  <si>
    <t>Unit Cost(1)</t>
  </si>
  <si>
    <t>Total Cost(1)</t>
  </si>
  <si>
    <t>Unit Cost (5 Boards)</t>
  </si>
  <si>
    <t>Total Cost (5)</t>
  </si>
  <si>
    <t>Remarks</t>
  </si>
  <si>
    <t>Murata Electronics</t>
  </si>
  <si>
    <t>Digikey</t>
  </si>
  <si>
    <t>Stackpole Electronics Inc</t>
  </si>
  <si>
    <t>Samsung Electro-Mechanics</t>
  </si>
  <si>
    <t>Nexperia USA Inc.</t>
  </si>
  <si>
    <t>PMEG3010BER,115</t>
  </si>
  <si>
    <t>Current reverse leakage  and some parameters are different</t>
  </si>
  <si>
    <t>less stock</t>
  </si>
  <si>
    <t>Johanson Technology Inc.</t>
  </si>
  <si>
    <t>Abracon LLC</t>
  </si>
  <si>
    <t>Rohm Semiconductor</t>
  </si>
  <si>
    <t>Diodes Incorporated</t>
  </si>
  <si>
    <t>Yageo</t>
  </si>
  <si>
    <t>Walsin Technology Corporation</t>
  </si>
  <si>
    <t>KOA Speer Electronics, Inc.</t>
  </si>
  <si>
    <t>Omron Electronics Inc-EMC Div</t>
  </si>
  <si>
    <t>Less Stock</t>
  </si>
  <si>
    <t>TDK InvenSense</t>
  </si>
  <si>
    <t>Microchip Technology</t>
  </si>
  <si>
    <t>Texas Instruments</t>
  </si>
  <si>
    <t>Hirose Electric Co Ltd</t>
  </si>
  <si>
    <t>Tag-Connect LLC</t>
  </si>
  <si>
    <t>CL05A106MP8NUB8</t>
  </si>
  <si>
    <t>CL03A105MO3NRNH</t>
  </si>
  <si>
    <t>GRM187R61A226ME15D</t>
  </si>
  <si>
    <t>0402YD475MAT2A</t>
  </si>
  <si>
    <t>GRM033R61A225KE47D</t>
  </si>
  <si>
    <t>not recommended for new design</t>
  </si>
  <si>
    <t>Everlight Elec</t>
  </si>
  <si>
    <t>UNI-ROYAL(Uniroyal Elec)</t>
  </si>
  <si>
    <t>Axelite Tech</t>
  </si>
  <si>
    <t>Silergy Corp</t>
  </si>
  <si>
    <t>Lyontek Inc.</t>
  </si>
  <si>
    <t>Ever Ohms Tech</t>
  </si>
  <si>
    <t>10uH</t>
  </si>
  <si>
    <t>COILMX</t>
  </si>
  <si>
    <t>IN-S42BT5G</t>
  </si>
  <si>
    <t>B82498F3279K000</t>
  </si>
  <si>
    <t>parameters are different</t>
  </si>
  <si>
    <t xml:space="preserve">non stock </t>
  </si>
  <si>
    <t>RMCF0201FT10K0</t>
  </si>
  <si>
    <t>AC0201FR-071K2L</t>
  </si>
  <si>
    <t>CRCW02011M40FNED</t>
  </si>
  <si>
    <t>ERJ-1GNF7152C</t>
  </si>
  <si>
    <t>RMCF0201FT95K3</t>
  </si>
  <si>
    <t>RK73H1HTTC1302F</t>
  </si>
  <si>
    <t>RC0201FR-0713K3L</t>
  </si>
  <si>
    <t>RC0201FR-0721KL</t>
  </si>
  <si>
    <t>RC0201FR-074K32L</t>
  </si>
  <si>
    <t>non Stock</t>
  </si>
  <si>
    <t>non-stock</t>
  </si>
  <si>
    <t>non stock</t>
  </si>
  <si>
    <t>Non stock</t>
  </si>
  <si>
    <t>HYTEPRO</t>
  </si>
  <si>
    <t>Utsource</t>
  </si>
  <si>
    <t>MOQ 10</t>
  </si>
  <si>
    <t>MOQ 5</t>
  </si>
  <si>
    <t>YXMAA0402-100M-ANP</t>
  </si>
  <si>
    <t>MOQ 7, Dimensions and parameters are different</t>
  </si>
  <si>
    <t>DO NOT MOUNT</t>
  </si>
  <si>
    <t>---------</t>
  </si>
  <si>
    <t>--------</t>
  </si>
  <si>
    <t>Capacitor</t>
  </si>
  <si>
    <t>Diode</t>
  </si>
  <si>
    <t>Inductor</t>
  </si>
  <si>
    <t>Mosfet</t>
  </si>
  <si>
    <t>Resistor</t>
  </si>
  <si>
    <t>Switch</t>
  </si>
  <si>
    <t>Antenna</t>
  </si>
  <si>
    <t>Ics</t>
  </si>
  <si>
    <t>Connector</t>
  </si>
  <si>
    <t>Please Fill this</t>
  </si>
  <si>
    <t>OLED</t>
  </si>
  <si>
    <t>Display Module</t>
  </si>
  <si>
    <t>Quotation Send to supplier</t>
  </si>
  <si>
    <t>Battery</t>
  </si>
  <si>
    <t>Ask to the Cient</t>
  </si>
  <si>
    <t xml:space="preserve">Total Component Cost </t>
  </si>
  <si>
    <t>Single Board Cost</t>
  </si>
  <si>
    <t>Bill of Material (BOM) for Brian Peri</t>
  </si>
  <si>
    <t>UG-6464TDDBG01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</si>
</sst>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5" formatCode="&quot;$&quot;#,##0.0000"/>
  </numFmts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444444"/>
      <name val="Calibri"/>
      <family val="2"/>
      <scheme val="minor"/>
    </font>
    <font>
      <sz val="10"/>
      <color rgb="FF32323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7" fillId="4" borderId="1" xfId="0" quotePrefix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1" xfId="0" applyBorder="1"/>
    <xf numFmtId="0" fontId="9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8" fillId="0" borderId="1" xfId="0" quotePrefix="1" applyFont="1" applyBorder="1"/>
    <xf numFmtId="0" fontId="8" fillId="6" borderId="1" xfId="0" quotePrefix="1" applyFont="1" applyFill="1" applyBorder="1"/>
    <xf numFmtId="0" fontId="8" fillId="6" borderId="1" xfId="0" quotePrefix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0" fillId="6" borderId="1" xfId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8" fillId="0" borderId="8" xfId="0" quotePrefix="1" applyFont="1" applyBorder="1"/>
    <xf numFmtId="0" fontId="8" fillId="0" borderId="8" xfId="0" quotePrefix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164" fontId="5" fillId="4" borderId="8" xfId="0" applyNumberFormat="1" applyFont="1" applyFill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164" fontId="0" fillId="0" borderId="0" xfId="0" applyNumberFormat="1"/>
    <xf numFmtId="0" fontId="12" fillId="6" borderId="1" xfId="0" applyFont="1" applyFill="1" applyBorder="1" applyAlignment="1">
      <alignment horizontal="center" vertical="center"/>
    </xf>
    <xf numFmtId="165" fontId="13" fillId="6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4" fillId="5" borderId="6" xfId="0" applyFont="1" applyFill="1" applyBorder="1" applyAlignment="1">
      <alignment horizontal="center" wrapText="1"/>
    </xf>
    <xf numFmtId="0" fontId="14" fillId="5" borderId="0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3">
    <cellStyle name="Hyperlink" xfId="1" builtinId="8"/>
    <cellStyle name="Hyperlink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walsin-technology-corporation/WR02X105-JAL/13239230?s=N4IgTCBcDaIOoCUAMYAaBGJBWAUgQQBkQBdAXyA" TargetMode="External"/><Relationship Id="rId18" Type="http://schemas.openxmlformats.org/officeDocument/2006/relationships/hyperlink" Target="https://www.digikey.com/en/products/detail/samsung-electro-mechanics/CL05A106MP8NUB8/5961314" TargetMode="External"/><Relationship Id="rId26" Type="http://schemas.openxmlformats.org/officeDocument/2006/relationships/hyperlink" Target="https://lcsc.com/brand-detail/488.html" TargetMode="External"/><Relationship Id="rId39" Type="http://schemas.openxmlformats.org/officeDocument/2006/relationships/hyperlink" Target="https://www.digikey.com/en/products/detail/vishay-dale/CRCW02011M40FNED/5069792" TargetMode="External"/><Relationship Id="rId21" Type="http://schemas.openxmlformats.org/officeDocument/2006/relationships/hyperlink" Target="https://www.digikey.com/en/products/detail/avx-corporation/0402YD475MAT2A/6221357" TargetMode="External"/><Relationship Id="rId34" Type="http://schemas.openxmlformats.org/officeDocument/2006/relationships/hyperlink" Target="https://www.digikey.com/en/products/detail/inolux/IN-S42BT5G/10384784" TargetMode="External"/><Relationship Id="rId42" Type="http://schemas.openxmlformats.org/officeDocument/2006/relationships/hyperlink" Target="https://www.digikey.com/en/products/detail/koa-speer-electronics-inc/RK73H1HTTC1302F/9843864" TargetMode="External"/><Relationship Id="rId47" Type="http://schemas.openxmlformats.org/officeDocument/2006/relationships/hyperlink" Target="https://www.digikey.com/en/products/detail/yageo/RC0201FR-074K32L/5280565" TargetMode="External"/><Relationship Id="rId50" Type="http://schemas.openxmlformats.org/officeDocument/2006/relationships/hyperlink" Target="https://www.digikey.com/en/products/detail/tdk-invensense/ICM-20649/8540792" TargetMode="External"/><Relationship Id="rId55" Type="http://schemas.openxmlformats.org/officeDocument/2006/relationships/hyperlink" Target="https://www.hyte.pro/" TargetMode="External"/><Relationship Id="rId7" Type="http://schemas.openxmlformats.org/officeDocument/2006/relationships/hyperlink" Target="https://www.digikey.com/en/products/detail/nexperia-usa-inc/PMEG3010BER-115/2531799" TargetMode="External"/><Relationship Id="rId2" Type="http://schemas.openxmlformats.org/officeDocument/2006/relationships/hyperlink" Target="https://www.digikey.com/en/products/detail/stackpole-electronics-inc/CML0603C0G2R0CT50V/10659988?s=N4IgTCBcDaIMIFkAyAGAbCgzHFBxMASinACoCsKAaiALoC%2BQA" TargetMode="External"/><Relationship Id="rId16" Type="http://schemas.openxmlformats.org/officeDocument/2006/relationships/hyperlink" Target="https://www.digikey.com/en/products/detail/texas-instruments/BQ25303JRTER/13918770?s=N4IgTCBcDaIEIEUwFYDMAGVApASgFQFEcQBdAXyA" TargetMode="External"/><Relationship Id="rId29" Type="http://schemas.openxmlformats.org/officeDocument/2006/relationships/hyperlink" Target="https://lcsc.com/brand-detail/99.html" TargetMode="External"/><Relationship Id="rId11" Type="http://schemas.openxmlformats.org/officeDocument/2006/relationships/hyperlink" Target="https://www.digikey.com/en/products/detail/diodes-incorporated/ZVN3310FTA/92648?s=N4IgTCBcDaIFoDUByBmFBGADAMQCoEEQBdAXyA" TargetMode="External"/><Relationship Id="rId24" Type="http://schemas.openxmlformats.org/officeDocument/2006/relationships/hyperlink" Target="https://lcsc.com/brand-detail/99.html" TargetMode="External"/><Relationship Id="rId32" Type="http://schemas.openxmlformats.org/officeDocument/2006/relationships/hyperlink" Target="https://lcsc.com/brand-detail/512.html" TargetMode="External"/><Relationship Id="rId37" Type="http://schemas.openxmlformats.org/officeDocument/2006/relationships/hyperlink" Target="https://www.digikey.com/en/products/detail/stackpole-electronics-inc/RMCF0201FT10K0/1714990" TargetMode="External"/><Relationship Id="rId40" Type="http://schemas.openxmlformats.org/officeDocument/2006/relationships/hyperlink" Target="https://www.digikey.com/en/products/detail/panasonic-electronic-components/ERJ-1GNF7152C/2036324" TargetMode="External"/><Relationship Id="rId45" Type="http://schemas.openxmlformats.org/officeDocument/2006/relationships/hyperlink" Target="https://www.digikey.com/en/products/detail/murata-electronics/NCP03XH103F05RL/5451936?s=N4IgTCBcDaIHIGEAKAGAzADQBIEZ0DEUBWAJQBkQBdAXyA" TargetMode="External"/><Relationship Id="rId53" Type="http://schemas.openxmlformats.org/officeDocument/2006/relationships/hyperlink" Target="https://www.digikey.com/en/products/detail/diodes-incorporated/AP7361C-33FGE-7/5638320?s=N4IgTCBcDaIIIAUDsBmAbARgMIFoUoDEBxAURyRAF0BfIA" TargetMode="External"/><Relationship Id="rId58" Type="http://schemas.openxmlformats.org/officeDocument/2006/relationships/hyperlink" Target="https://www.utsource.net/itm/p/8970972.html" TargetMode="External"/><Relationship Id="rId5" Type="http://schemas.openxmlformats.org/officeDocument/2006/relationships/hyperlink" Target="https://www.digikey.com/en/supplier-centers/murata-electronics" TargetMode="External"/><Relationship Id="rId19" Type="http://schemas.openxmlformats.org/officeDocument/2006/relationships/hyperlink" Target="https://www.digikey.com/en/products/detail/samsung-electro-mechanics/CL03A105MO3NRNH/5961282" TargetMode="External"/><Relationship Id="rId4" Type="http://schemas.openxmlformats.org/officeDocument/2006/relationships/hyperlink" Target="https://www.digikey.com/en/products/detail/samsung-electro-mechanics/CL21A226MOQNNNE/3888567?s=N4IgTCBcDaIMIBkwEYCCYwDYCyB5AigHLECiIAugL5A" TargetMode="External"/><Relationship Id="rId9" Type="http://schemas.openxmlformats.org/officeDocument/2006/relationships/hyperlink" Target="https://www.digikey.com/en/products/detail/abracon-llc/AMDLA4530Q-4R7MT/12331667?s=N4IgTCBcDaIIIFkAiAZOAWArAZgAwEUBadAJQHYEAVEAXQF8g" TargetMode="External"/><Relationship Id="rId14" Type="http://schemas.openxmlformats.org/officeDocument/2006/relationships/hyperlink" Target="https://www.digikey.com/en/products/detail/yageo/RC0201FR-071KL/3202389?s=N4IgTCBcDaIEoGEAMYkEYBicC0SDsaA0gDIgC6AvkA" TargetMode="External"/><Relationship Id="rId22" Type="http://schemas.openxmlformats.org/officeDocument/2006/relationships/hyperlink" Target="https://www.digikey.com/en/products/detail/murata-electronics/GRM033R61A225KE47D/5877390" TargetMode="External"/><Relationship Id="rId27" Type="http://schemas.openxmlformats.org/officeDocument/2006/relationships/hyperlink" Target="https://lcsc.com/brand-detail/897.html" TargetMode="External"/><Relationship Id="rId30" Type="http://schemas.openxmlformats.org/officeDocument/2006/relationships/hyperlink" Target="https://lcsc.com/brand-detail/99.html" TargetMode="External"/><Relationship Id="rId35" Type="http://schemas.openxmlformats.org/officeDocument/2006/relationships/hyperlink" Target="https://www.digikey.com/en/products/detail/epcos-tdk-electronics/B82498F3279K000/726218" TargetMode="External"/><Relationship Id="rId43" Type="http://schemas.openxmlformats.org/officeDocument/2006/relationships/hyperlink" Target="https://www.digikey.com/en/products/detail/yageo/RC0201FR-0713K3L/5280259" TargetMode="External"/><Relationship Id="rId48" Type="http://schemas.openxmlformats.org/officeDocument/2006/relationships/hyperlink" Target="https://www.digikey.com/en/products/detail/johanson-technology-inc/2450AT18A100E/1560676?s=N4IgTCBcDa4CwFYAMBBAKgRgBwo0pAoiALoC%2BQA" TargetMode="External"/><Relationship Id="rId56" Type="http://schemas.openxmlformats.org/officeDocument/2006/relationships/hyperlink" Target="https://www.utsource.net/itm/p/8385542.html" TargetMode="External"/><Relationship Id="rId8" Type="http://schemas.openxmlformats.org/officeDocument/2006/relationships/hyperlink" Target="https://www.digikey.com/en/products/detail/nexperia-usa-inc/PMEG2010ET-215/1589908?s=N4IgTCBcDaIAoFkCiBxMAGAjOpAVANGJgKwgC6AvkA" TargetMode="External"/><Relationship Id="rId51" Type="http://schemas.openxmlformats.org/officeDocument/2006/relationships/hyperlink" Target="https://www.digikey.com/en/products/detail/microchip-technology/AT42QT1011-MAHR/2357297?s=N4IgTCBcDaIIIBUAsYCKCCMAGDGC0AsnABIBKIAugL5A" TargetMode="External"/><Relationship Id="rId3" Type="http://schemas.openxmlformats.org/officeDocument/2006/relationships/hyperlink" Target="https://www.digikey.com/en/products/detail/stackpole-electronics-inc/CML0603C0G2R7CT50V/10660041?s=N4IgTCBcDaIMIFkAyAGAbCgzHFBxMASgOxwAqArCgGogC6AvkA" TargetMode="External"/><Relationship Id="rId12" Type="http://schemas.openxmlformats.org/officeDocument/2006/relationships/hyperlink" Target="https://www.digikey.com/en/products/detail/yageo/RC0201FR-0747KL/3202409?s=N4IgTCBcDaIEoGEAMYkEYBicC0SDsALHgNIAyIAugL5A" TargetMode="External"/><Relationship Id="rId17" Type="http://schemas.openxmlformats.org/officeDocument/2006/relationships/hyperlink" Target="https://lcsc.com/brand-detail/79.html" TargetMode="External"/><Relationship Id="rId25" Type="http://schemas.openxmlformats.org/officeDocument/2006/relationships/hyperlink" Target="https://lcsc.com/brand-detail/296.html" TargetMode="External"/><Relationship Id="rId33" Type="http://schemas.openxmlformats.org/officeDocument/2006/relationships/hyperlink" Target="https://lcsc.com/brand-detail/11934.html" TargetMode="External"/><Relationship Id="rId38" Type="http://schemas.openxmlformats.org/officeDocument/2006/relationships/hyperlink" Target="https://www.digikey.com/en/products/detail/yageo/AC0201FR-071K2L/7063511" TargetMode="External"/><Relationship Id="rId46" Type="http://schemas.openxmlformats.org/officeDocument/2006/relationships/hyperlink" Target="https://www.digikey.com/en/products/detail/yageo/RC0201FR-0721KL/5281370" TargetMode="External"/><Relationship Id="rId59" Type="http://schemas.openxmlformats.org/officeDocument/2006/relationships/hyperlink" Target="https://www.utsource.net/itm/p/8345795.html" TargetMode="External"/><Relationship Id="rId20" Type="http://schemas.openxmlformats.org/officeDocument/2006/relationships/hyperlink" Target="https://www.digikey.com/en/products/detail/murata-electronics/GRM187R61A226ME15D/5877406" TargetMode="External"/><Relationship Id="rId41" Type="http://schemas.openxmlformats.org/officeDocument/2006/relationships/hyperlink" Target="https://www.digikey.com/en/products/detail/stackpole-electronics-inc/RMCF0201FT95K3/5965938" TargetMode="External"/><Relationship Id="rId54" Type="http://schemas.openxmlformats.org/officeDocument/2006/relationships/hyperlink" Target="https://www.digikey.com/en/products/detail/hirose-electric-co-ltd/U-FL-R-SMT-1-80/3978495?s=N4IgTCBcDaIKoDoBiAZAtAJTQZQLIBU0BGACgA4AGAShAF0BfIA" TargetMode="External"/><Relationship Id="rId1" Type="http://schemas.openxmlformats.org/officeDocument/2006/relationships/hyperlink" Target="https://www.digikey.com/en/products/detail/murata-electronics/GRM033R61E104KE14D/4904731?s=N4IgTCBcDaIOICUCyAGAzGhA2AjAURxQBYBpAogERAF0BfIA" TargetMode="External"/><Relationship Id="rId6" Type="http://schemas.openxmlformats.org/officeDocument/2006/relationships/hyperlink" Target="https://www.digikey.com/en/supplier-centers/murata-electronics" TargetMode="External"/><Relationship Id="rId15" Type="http://schemas.openxmlformats.org/officeDocument/2006/relationships/hyperlink" Target="https://www.digikey.com/en/products/detail/omron-electronics-inc-emc-div/B3U-1000P/1534338" TargetMode="External"/><Relationship Id="rId23" Type="http://schemas.openxmlformats.org/officeDocument/2006/relationships/hyperlink" Target="https://www.digikey.com/en/products/detail/murata-electronics/GRM033R61C473KE84D/4213132?s=N4IgTCBcDaIOICUCyAGAzGhA2AjAYQBYB2NAaQFEAOAgERAF0BfIA" TargetMode="External"/><Relationship Id="rId28" Type="http://schemas.openxmlformats.org/officeDocument/2006/relationships/hyperlink" Target="https://lcsc.com/brand-detail/11667.html" TargetMode="External"/><Relationship Id="rId36" Type="http://schemas.openxmlformats.org/officeDocument/2006/relationships/hyperlink" Target="https://www.digikey.com/en/products/detail/murata-electronics/DFE201610E-1R0M-P2/7430535?s=N4IgTCBcDaICIDECiYAMBGAbO1SC06ASqgLIC8AChALoC%2BQA" TargetMode="External"/><Relationship Id="rId49" Type="http://schemas.openxmlformats.org/officeDocument/2006/relationships/hyperlink" Target="https://www.digikey.com/en/products/detail/espressif-systems/ESP32-PICO-D4/9381722" TargetMode="External"/><Relationship Id="rId57" Type="http://schemas.openxmlformats.org/officeDocument/2006/relationships/hyperlink" Target="https://www.utsource.net/itm/p/9521592.html" TargetMode="External"/><Relationship Id="rId10" Type="http://schemas.openxmlformats.org/officeDocument/2006/relationships/hyperlink" Target="https://www.digikey.com/en/products/detail/rohm-semiconductor/UMH3NTN/659279?s=N4IgTCBcDaIKoFkASBmAcgFTSAugXyA" TargetMode="External"/><Relationship Id="rId31" Type="http://schemas.openxmlformats.org/officeDocument/2006/relationships/hyperlink" Target="https://lcsc.com/brand-detail/99.html" TargetMode="External"/><Relationship Id="rId44" Type="http://schemas.openxmlformats.org/officeDocument/2006/relationships/hyperlink" Target="https://www.digikey.com/en/supplier-centers/murata-electronics" TargetMode="External"/><Relationship Id="rId52" Type="http://schemas.openxmlformats.org/officeDocument/2006/relationships/hyperlink" Target="https://www.digikey.com/en/products/detail/microchip-technology/MIC2004-0-5YM5-TR/1027753?s=N4IgTCBcDaILIEkDCYAMqAsBaVA6ArAJpz5YAqASiALoC%2BQA" TargetMode="External"/><Relationship Id="rId6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"/>
  <sheetViews>
    <sheetView tabSelected="1" topLeftCell="B1" workbookViewId="0">
      <selection activeCell="L12" sqref="L12"/>
    </sheetView>
  </sheetViews>
  <sheetFormatPr defaultRowHeight="15" x14ac:dyDescent="0.25"/>
  <cols>
    <col min="1" max="1" width="6.140625" bestFit="1" customWidth="1"/>
    <col min="2" max="2" width="16.7109375" customWidth="1"/>
    <col min="3" max="3" width="45" customWidth="1"/>
    <col min="4" max="4" width="16.7109375" customWidth="1"/>
    <col min="5" max="5" width="16" customWidth="1"/>
    <col min="6" max="6" width="25.28515625" bestFit="1" customWidth="1"/>
    <col min="7" max="7" width="29.140625" bestFit="1" customWidth="1"/>
    <col min="8" max="8" width="20" bestFit="1" customWidth="1"/>
    <col min="9" max="9" width="16.85546875" bestFit="1" customWidth="1"/>
    <col min="10" max="10" width="6" customWidth="1"/>
    <col min="12" max="12" width="11.7109375" bestFit="1" customWidth="1"/>
    <col min="13" max="13" width="11.5703125" bestFit="1" customWidth="1"/>
    <col min="15" max="15" width="18.7109375" bestFit="1" customWidth="1"/>
    <col min="16" max="16" width="12.5703125" bestFit="1" customWidth="1"/>
    <col min="17" max="17" width="48.7109375" bestFit="1" customWidth="1"/>
  </cols>
  <sheetData>
    <row r="1" spans="1:17" ht="16.5" thickBot="1" x14ac:dyDescent="0.3">
      <c r="A1" s="47" t="s">
        <v>290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9"/>
    </row>
    <row r="2" spans="1:17" ht="15.75" thickBot="1" x14ac:dyDescent="0.3">
      <c r="A2" s="1" t="s">
        <v>197</v>
      </c>
      <c r="B2" s="6" t="s">
        <v>198</v>
      </c>
      <c r="C2" s="6" t="s">
        <v>0</v>
      </c>
      <c r="D2" s="6" t="s">
        <v>1</v>
      </c>
      <c r="E2" s="6" t="s">
        <v>199</v>
      </c>
      <c r="F2" s="6" t="s">
        <v>2</v>
      </c>
      <c r="G2" s="6" t="s">
        <v>200</v>
      </c>
      <c r="H2" s="6" t="s">
        <v>201</v>
      </c>
      <c r="I2" s="6" t="s">
        <v>202</v>
      </c>
      <c r="J2" s="6" t="s">
        <v>203</v>
      </c>
      <c r="K2" s="6" t="s">
        <v>204</v>
      </c>
      <c r="L2" s="6" t="s">
        <v>205</v>
      </c>
      <c r="M2" s="6" t="s">
        <v>206</v>
      </c>
      <c r="N2" s="6" t="s">
        <v>207</v>
      </c>
      <c r="O2" s="6" t="s">
        <v>208</v>
      </c>
      <c r="P2" s="6" t="s">
        <v>209</v>
      </c>
      <c r="Q2" s="6" t="s">
        <v>210</v>
      </c>
    </row>
    <row r="3" spans="1:17" ht="15.75" thickBot="1" x14ac:dyDescent="0.3">
      <c r="A3" s="4">
        <v>1</v>
      </c>
      <c r="B3" s="43" t="s">
        <v>273</v>
      </c>
      <c r="C3" s="18" t="s">
        <v>4</v>
      </c>
      <c r="D3" s="10" t="s">
        <v>5</v>
      </c>
      <c r="E3" s="10" t="s">
        <v>6</v>
      </c>
      <c r="F3" s="10" t="s">
        <v>7</v>
      </c>
      <c r="G3" s="11" t="s">
        <v>211</v>
      </c>
      <c r="H3" s="11"/>
      <c r="I3" s="10" t="s">
        <v>3</v>
      </c>
      <c r="J3" s="12">
        <v>24</v>
      </c>
      <c r="K3" s="11">
        <f>J3*5</f>
        <v>120</v>
      </c>
      <c r="L3" s="13" t="s">
        <v>212</v>
      </c>
      <c r="M3" s="27">
        <v>5.6000000000000001E-2</v>
      </c>
      <c r="N3" s="27">
        <f>M3*J3</f>
        <v>1.3440000000000001</v>
      </c>
      <c r="O3" s="27">
        <v>2.4799999999999999E-2</v>
      </c>
      <c r="P3" s="25">
        <f>O3*K3</f>
        <v>2.976</v>
      </c>
      <c r="Q3" s="11"/>
    </row>
    <row r="4" spans="1:17" ht="15.75" thickBot="1" x14ac:dyDescent="0.3">
      <c r="A4" s="5">
        <f>A3+1</f>
        <v>2</v>
      </c>
      <c r="B4" s="43"/>
      <c r="C4" s="18" t="s">
        <v>9</v>
      </c>
      <c r="D4" s="10" t="s">
        <v>10</v>
      </c>
      <c r="E4" s="10" t="s">
        <v>11</v>
      </c>
      <c r="F4" s="10" t="s">
        <v>12</v>
      </c>
      <c r="G4" s="11" t="s">
        <v>213</v>
      </c>
      <c r="H4" s="11"/>
      <c r="I4" s="10" t="s">
        <v>8</v>
      </c>
      <c r="J4" s="12">
        <v>1</v>
      </c>
      <c r="K4" s="11">
        <f t="shared" ref="K4:K52" si="0">J4*5</f>
        <v>5</v>
      </c>
      <c r="L4" s="13" t="s">
        <v>212</v>
      </c>
      <c r="M4" s="27">
        <v>0.1</v>
      </c>
      <c r="N4" s="27">
        <f t="shared" ref="N4:N46" si="1">M4*J4</f>
        <v>0.1</v>
      </c>
      <c r="O4" s="27">
        <v>0.1</v>
      </c>
      <c r="P4" s="25">
        <f t="shared" ref="P4:P46" si="2">O4*K4</f>
        <v>0.5</v>
      </c>
      <c r="Q4" s="11"/>
    </row>
    <row r="5" spans="1:17" ht="15.75" thickBot="1" x14ac:dyDescent="0.3">
      <c r="A5" s="5">
        <f t="shared" ref="A5:A54" si="3">A4+1</f>
        <v>3</v>
      </c>
      <c r="B5" s="43"/>
      <c r="C5" s="18" t="s">
        <v>14</v>
      </c>
      <c r="D5" s="10" t="s">
        <v>15</v>
      </c>
      <c r="E5" s="10" t="s">
        <v>11</v>
      </c>
      <c r="F5" s="10" t="s">
        <v>16</v>
      </c>
      <c r="G5" s="11" t="s">
        <v>213</v>
      </c>
      <c r="H5" s="11"/>
      <c r="I5" s="10" t="s">
        <v>13</v>
      </c>
      <c r="J5" s="12">
        <v>1</v>
      </c>
      <c r="K5" s="11">
        <f t="shared" si="0"/>
        <v>5</v>
      </c>
      <c r="L5" s="13" t="s">
        <v>212</v>
      </c>
      <c r="M5" s="27">
        <v>0.1</v>
      </c>
      <c r="N5" s="27">
        <f t="shared" si="1"/>
        <v>0.1</v>
      </c>
      <c r="O5" s="27">
        <v>0.1</v>
      </c>
      <c r="P5" s="25">
        <f t="shared" si="2"/>
        <v>0.5</v>
      </c>
      <c r="Q5" s="11"/>
    </row>
    <row r="6" spans="1:17" ht="15.75" thickBot="1" x14ac:dyDescent="0.3">
      <c r="A6" s="5">
        <f t="shared" si="3"/>
        <v>4</v>
      </c>
      <c r="B6" s="43"/>
      <c r="C6" s="18" t="s">
        <v>18</v>
      </c>
      <c r="D6" s="10" t="s">
        <v>19</v>
      </c>
      <c r="E6" s="10" t="s">
        <v>20</v>
      </c>
      <c r="F6" s="10" t="s">
        <v>21</v>
      </c>
      <c r="G6" s="11" t="s">
        <v>211</v>
      </c>
      <c r="H6" s="14" t="s">
        <v>233</v>
      </c>
      <c r="I6" s="10" t="s">
        <v>17</v>
      </c>
      <c r="J6" s="12">
        <v>6</v>
      </c>
      <c r="K6" s="11">
        <f t="shared" si="0"/>
        <v>30</v>
      </c>
      <c r="L6" s="13" t="s">
        <v>212</v>
      </c>
      <c r="M6" s="27">
        <v>0.37</v>
      </c>
      <c r="N6" s="27">
        <f t="shared" si="1"/>
        <v>2.2199999999999998</v>
      </c>
      <c r="O6" s="27">
        <v>0.25800000000000001</v>
      </c>
      <c r="P6" s="25">
        <f t="shared" si="2"/>
        <v>7.74</v>
      </c>
      <c r="Q6" s="11"/>
    </row>
    <row r="7" spans="1:17" ht="15.75" thickBot="1" x14ac:dyDescent="0.3">
      <c r="A7" s="5">
        <f t="shared" si="3"/>
        <v>5</v>
      </c>
      <c r="B7" s="43"/>
      <c r="C7" s="18" t="s">
        <v>23</v>
      </c>
      <c r="D7" s="10" t="s">
        <v>24</v>
      </c>
      <c r="E7" s="10" t="s">
        <v>6</v>
      </c>
      <c r="F7" s="10" t="s">
        <v>25</v>
      </c>
      <c r="G7" s="11" t="s">
        <v>214</v>
      </c>
      <c r="H7" s="15" t="s">
        <v>234</v>
      </c>
      <c r="I7" s="10" t="s">
        <v>22</v>
      </c>
      <c r="J7" s="12">
        <v>5</v>
      </c>
      <c r="K7" s="11">
        <f t="shared" si="0"/>
        <v>25</v>
      </c>
      <c r="L7" s="13" t="s">
        <v>212</v>
      </c>
      <c r="M7" s="27">
        <v>0.28000000000000003</v>
      </c>
      <c r="N7" s="27">
        <f t="shared" si="1"/>
        <v>1.4000000000000001</v>
      </c>
      <c r="O7" s="27">
        <v>0.193</v>
      </c>
      <c r="P7" s="25">
        <f t="shared" si="2"/>
        <v>4.8250000000000002</v>
      </c>
      <c r="Q7" s="11"/>
    </row>
    <row r="8" spans="1:17" ht="15.75" thickBot="1" x14ac:dyDescent="0.3">
      <c r="A8" s="5">
        <f t="shared" si="3"/>
        <v>6</v>
      </c>
      <c r="B8" s="43"/>
      <c r="C8" s="18" t="s">
        <v>27</v>
      </c>
      <c r="D8" s="10" t="s">
        <v>28</v>
      </c>
      <c r="E8" s="10" t="s">
        <v>29</v>
      </c>
      <c r="F8" s="10" t="s">
        <v>30</v>
      </c>
      <c r="G8" s="11" t="s">
        <v>214</v>
      </c>
      <c r="H8" s="11"/>
      <c r="I8" s="10" t="s">
        <v>26</v>
      </c>
      <c r="J8" s="12">
        <v>1</v>
      </c>
      <c r="K8" s="11">
        <f t="shared" si="0"/>
        <v>5</v>
      </c>
      <c r="L8" s="13" t="s">
        <v>212</v>
      </c>
      <c r="M8" s="27">
        <v>0.3</v>
      </c>
      <c r="N8" s="27">
        <f t="shared" si="1"/>
        <v>0.3</v>
      </c>
      <c r="O8" s="27">
        <v>0.3</v>
      </c>
      <c r="P8" s="25">
        <f t="shared" si="2"/>
        <v>1.5</v>
      </c>
      <c r="Q8" s="11"/>
    </row>
    <row r="9" spans="1:17" ht="26.25" thickBot="1" x14ac:dyDescent="0.3">
      <c r="A9" s="5">
        <f t="shared" si="3"/>
        <v>7</v>
      </c>
      <c r="B9" s="43"/>
      <c r="C9" s="18" t="s">
        <v>31</v>
      </c>
      <c r="D9" s="10" t="s">
        <v>32</v>
      </c>
      <c r="E9" s="10" t="s">
        <v>11</v>
      </c>
      <c r="F9" s="10" t="s">
        <v>33</v>
      </c>
      <c r="G9" s="11" t="s">
        <v>211</v>
      </c>
      <c r="H9" s="14" t="s">
        <v>235</v>
      </c>
      <c r="I9" s="10" t="s">
        <v>26</v>
      </c>
      <c r="J9" s="12">
        <v>3</v>
      </c>
      <c r="K9" s="11">
        <f t="shared" si="0"/>
        <v>15</v>
      </c>
      <c r="L9" s="13" t="s">
        <v>212</v>
      </c>
      <c r="M9" s="27">
        <v>0.54</v>
      </c>
      <c r="N9" s="27">
        <f t="shared" si="1"/>
        <v>1.62</v>
      </c>
      <c r="O9" s="27">
        <v>0.38100000000000001</v>
      </c>
      <c r="P9" s="25">
        <f t="shared" si="2"/>
        <v>5.7149999999999999</v>
      </c>
      <c r="Q9" s="11"/>
    </row>
    <row r="10" spans="1:17" ht="15.75" thickBot="1" x14ac:dyDescent="0.3">
      <c r="A10" s="5">
        <f t="shared" si="3"/>
        <v>8</v>
      </c>
      <c r="B10" s="43"/>
      <c r="C10" s="18" t="s">
        <v>35</v>
      </c>
      <c r="D10" s="10" t="s">
        <v>36</v>
      </c>
      <c r="E10" s="10" t="s">
        <v>20</v>
      </c>
      <c r="F10" s="10" t="s">
        <v>37</v>
      </c>
      <c r="G10" s="11" t="s">
        <v>214</v>
      </c>
      <c r="H10" s="11" t="s">
        <v>236</v>
      </c>
      <c r="I10" s="10" t="s">
        <v>34</v>
      </c>
      <c r="J10" s="12">
        <v>4</v>
      </c>
      <c r="K10" s="11">
        <f t="shared" si="0"/>
        <v>20</v>
      </c>
      <c r="L10" s="13" t="s">
        <v>212</v>
      </c>
      <c r="M10" s="27">
        <v>0.28999999999999998</v>
      </c>
      <c r="N10" s="27">
        <f t="shared" si="1"/>
        <v>1.1599999999999999</v>
      </c>
      <c r="O10" s="27">
        <v>0.19700000000000001</v>
      </c>
      <c r="P10" s="25">
        <f t="shared" si="2"/>
        <v>3.9400000000000004</v>
      </c>
      <c r="Q10" s="11"/>
    </row>
    <row r="11" spans="1:17" ht="15.75" thickBot="1" x14ac:dyDescent="0.3">
      <c r="A11" s="5">
        <f t="shared" si="3"/>
        <v>9</v>
      </c>
      <c r="B11" s="43"/>
      <c r="C11" s="18" t="s">
        <v>39</v>
      </c>
      <c r="D11" s="10" t="s">
        <v>40</v>
      </c>
      <c r="E11" s="10" t="s">
        <v>6</v>
      </c>
      <c r="F11" s="10" t="s">
        <v>41</v>
      </c>
      <c r="G11" s="11" t="s">
        <v>211</v>
      </c>
      <c r="H11" s="15" t="s">
        <v>237</v>
      </c>
      <c r="I11" s="10" t="s">
        <v>38</v>
      </c>
      <c r="J11" s="12">
        <v>2</v>
      </c>
      <c r="K11" s="11">
        <f t="shared" si="0"/>
        <v>10</v>
      </c>
      <c r="L11" s="13" t="s">
        <v>212</v>
      </c>
      <c r="M11" s="27">
        <v>0.31</v>
      </c>
      <c r="N11" s="27">
        <f t="shared" si="1"/>
        <v>0.62</v>
      </c>
      <c r="O11" s="27">
        <v>0.20899999999999999</v>
      </c>
      <c r="P11" s="25">
        <f t="shared" si="2"/>
        <v>2.09</v>
      </c>
      <c r="Q11" s="11"/>
    </row>
    <row r="12" spans="1:17" ht="15.75" thickBot="1" x14ac:dyDescent="0.3">
      <c r="A12" s="5">
        <f t="shared" si="3"/>
        <v>10</v>
      </c>
      <c r="B12" s="43"/>
      <c r="C12" s="19" t="s">
        <v>43</v>
      </c>
      <c r="D12" s="20" t="s">
        <v>44</v>
      </c>
      <c r="E12" s="20" t="s">
        <v>6</v>
      </c>
      <c r="F12" s="20" t="s">
        <v>45</v>
      </c>
      <c r="G12" s="23" t="s">
        <v>211</v>
      </c>
      <c r="H12" s="21" t="s">
        <v>45</v>
      </c>
      <c r="I12" s="20" t="s">
        <v>42</v>
      </c>
      <c r="J12" s="22">
        <v>1</v>
      </c>
      <c r="K12" s="23">
        <f t="shared" si="0"/>
        <v>5</v>
      </c>
      <c r="L12" s="24" t="s">
        <v>212</v>
      </c>
      <c r="M12" s="28">
        <v>0.1</v>
      </c>
      <c r="N12" s="28">
        <f t="shared" si="1"/>
        <v>0.1</v>
      </c>
      <c r="O12" s="28">
        <v>0.1</v>
      </c>
      <c r="P12" s="26">
        <f t="shared" si="2"/>
        <v>0.5</v>
      </c>
      <c r="Q12" s="23" t="s">
        <v>238</v>
      </c>
    </row>
    <row r="13" spans="1:17" ht="15.75" thickBot="1" x14ac:dyDescent="0.3">
      <c r="A13" s="5">
        <f t="shared" si="3"/>
        <v>11</v>
      </c>
      <c r="B13" s="43" t="s">
        <v>274</v>
      </c>
      <c r="C13" s="18" t="s">
        <v>47</v>
      </c>
      <c r="D13" s="10" t="s">
        <v>48</v>
      </c>
      <c r="E13" s="10" t="s">
        <v>49</v>
      </c>
      <c r="F13" s="10" t="s">
        <v>46</v>
      </c>
      <c r="G13" s="11" t="s">
        <v>215</v>
      </c>
      <c r="H13" s="11" t="s">
        <v>216</v>
      </c>
      <c r="I13" s="10" t="s">
        <v>46</v>
      </c>
      <c r="J13" s="12">
        <v>1</v>
      </c>
      <c r="K13" s="11">
        <f t="shared" si="0"/>
        <v>5</v>
      </c>
      <c r="L13" s="13" t="s">
        <v>212</v>
      </c>
      <c r="M13" s="27">
        <v>0.42</v>
      </c>
      <c r="N13" s="27">
        <f t="shared" si="1"/>
        <v>0.42</v>
      </c>
      <c r="O13" s="27">
        <v>0.42</v>
      </c>
      <c r="P13" s="25">
        <f t="shared" si="2"/>
        <v>2.1</v>
      </c>
      <c r="Q13" s="11" t="s">
        <v>217</v>
      </c>
    </row>
    <row r="14" spans="1:17" ht="15.75" thickBot="1" x14ac:dyDescent="0.3">
      <c r="A14" s="5">
        <f t="shared" si="3"/>
        <v>12</v>
      </c>
      <c r="B14" s="43"/>
      <c r="C14" s="18" t="s">
        <v>51</v>
      </c>
      <c r="D14" s="10" t="s">
        <v>52</v>
      </c>
      <c r="E14" s="10" t="s">
        <v>50</v>
      </c>
      <c r="F14" s="10" t="s">
        <v>50</v>
      </c>
      <c r="G14" s="11" t="s">
        <v>215</v>
      </c>
      <c r="H14" s="11"/>
      <c r="I14" s="10" t="s">
        <v>50</v>
      </c>
      <c r="J14" s="12">
        <v>1</v>
      </c>
      <c r="K14" s="11">
        <f t="shared" si="0"/>
        <v>5</v>
      </c>
      <c r="L14" s="13" t="s">
        <v>212</v>
      </c>
      <c r="M14" s="27">
        <v>0.46</v>
      </c>
      <c r="N14" s="27">
        <f t="shared" si="1"/>
        <v>0.46</v>
      </c>
      <c r="O14" s="27">
        <v>0.46</v>
      </c>
      <c r="P14" s="25">
        <f t="shared" si="2"/>
        <v>2.3000000000000003</v>
      </c>
      <c r="Q14" s="11" t="s">
        <v>218</v>
      </c>
    </row>
    <row r="15" spans="1:17" ht="15.75" thickBot="1" x14ac:dyDescent="0.3">
      <c r="A15" s="5">
        <f t="shared" si="3"/>
        <v>13</v>
      </c>
      <c r="B15" s="43"/>
      <c r="C15" s="18" t="s">
        <v>85</v>
      </c>
      <c r="D15" s="10" t="s">
        <v>86</v>
      </c>
      <c r="E15" s="10" t="s">
        <v>87</v>
      </c>
      <c r="F15" s="10" t="s">
        <v>84</v>
      </c>
      <c r="G15" s="11" t="s">
        <v>239</v>
      </c>
      <c r="H15" s="14" t="s">
        <v>247</v>
      </c>
      <c r="I15" s="10" t="s">
        <v>84</v>
      </c>
      <c r="J15" s="12">
        <v>2</v>
      </c>
      <c r="K15" s="11">
        <f t="shared" si="0"/>
        <v>10</v>
      </c>
      <c r="L15" s="13" t="s">
        <v>212</v>
      </c>
      <c r="M15" s="27">
        <v>0.38</v>
      </c>
      <c r="N15" s="27">
        <f t="shared" si="1"/>
        <v>0.76</v>
      </c>
      <c r="O15" s="27">
        <v>0.248</v>
      </c>
      <c r="P15" s="25">
        <f t="shared" si="2"/>
        <v>2.48</v>
      </c>
      <c r="Q15" s="11"/>
    </row>
    <row r="16" spans="1:17" ht="15.75" thickBot="1" x14ac:dyDescent="0.3">
      <c r="A16" s="5">
        <f t="shared" si="3"/>
        <v>14</v>
      </c>
      <c r="B16" s="43" t="s">
        <v>275</v>
      </c>
      <c r="C16" s="18" t="s">
        <v>69</v>
      </c>
      <c r="D16" s="10" t="s">
        <v>70</v>
      </c>
      <c r="E16" s="10" t="s">
        <v>71</v>
      </c>
      <c r="F16" s="10" t="s">
        <v>71</v>
      </c>
      <c r="G16" s="11" t="s">
        <v>219</v>
      </c>
      <c r="H16" s="15" t="s">
        <v>248</v>
      </c>
      <c r="I16" s="10" t="s">
        <v>68</v>
      </c>
      <c r="J16" s="12">
        <v>1</v>
      </c>
      <c r="K16" s="11">
        <f t="shared" si="0"/>
        <v>5</v>
      </c>
      <c r="L16" s="13" t="s">
        <v>212</v>
      </c>
      <c r="M16" s="27">
        <v>0.74</v>
      </c>
      <c r="N16" s="27">
        <f t="shared" si="1"/>
        <v>0.74</v>
      </c>
      <c r="O16" s="27">
        <v>0.74</v>
      </c>
      <c r="P16" s="25">
        <f t="shared" si="2"/>
        <v>3.7</v>
      </c>
      <c r="Q16" s="11" t="s">
        <v>249</v>
      </c>
    </row>
    <row r="17" spans="1:17" ht="15.75" thickBot="1" x14ac:dyDescent="0.3">
      <c r="A17" s="5">
        <f t="shared" si="3"/>
        <v>15</v>
      </c>
      <c r="B17" s="43"/>
      <c r="C17" s="19" t="s">
        <v>73</v>
      </c>
      <c r="D17" s="20" t="s">
        <v>74</v>
      </c>
      <c r="E17" s="20" t="s">
        <v>72</v>
      </c>
      <c r="F17" s="20" t="s">
        <v>72</v>
      </c>
      <c r="G17" s="23" t="s">
        <v>246</v>
      </c>
      <c r="H17" s="41" t="s">
        <v>268</v>
      </c>
      <c r="I17" s="20" t="s">
        <v>245</v>
      </c>
      <c r="J17" s="22">
        <v>1</v>
      </c>
      <c r="K17" s="23">
        <f t="shared" si="0"/>
        <v>5</v>
      </c>
      <c r="L17" s="24" t="s">
        <v>265</v>
      </c>
      <c r="M17" s="42">
        <v>0.29597000000000001</v>
      </c>
      <c r="N17" s="28">
        <f t="shared" si="1"/>
        <v>0.29597000000000001</v>
      </c>
      <c r="O17" s="42">
        <v>0.29597000000000001</v>
      </c>
      <c r="P17" s="26">
        <f t="shared" si="2"/>
        <v>1.4798500000000001</v>
      </c>
      <c r="Q17" s="23" t="s">
        <v>269</v>
      </c>
    </row>
    <row r="18" spans="1:17" ht="15.75" thickBot="1" x14ac:dyDescent="0.3">
      <c r="A18" s="5">
        <f t="shared" si="3"/>
        <v>16</v>
      </c>
      <c r="B18" s="43"/>
      <c r="C18" s="18" t="s">
        <v>76</v>
      </c>
      <c r="D18" s="10" t="s">
        <v>77</v>
      </c>
      <c r="E18" s="10" t="s">
        <v>78</v>
      </c>
      <c r="F18" s="10" t="s">
        <v>78</v>
      </c>
      <c r="G18" s="11" t="s">
        <v>220</v>
      </c>
      <c r="H18" s="11"/>
      <c r="I18" s="10" t="s">
        <v>75</v>
      </c>
      <c r="J18" s="12">
        <v>1</v>
      </c>
      <c r="K18" s="11">
        <f t="shared" si="0"/>
        <v>5</v>
      </c>
      <c r="L18" s="13" t="s">
        <v>212</v>
      </c>
      <c r="M18" s="27">
        <v>1.08</v>
      </c>
      <c r="N18" s="27">
        <f t="shared" si="1"/>
        <v>1.08</v>
      </c>
      <c r="O18" s="27">
        <v>1.08</v>
      </c>
      <c r="P18" s="25">
        <f t="shared" si="2"/>
        <v>5.4</v>
      </c>
      <c r="Q18" s="11" t="s">
        <v>218</v>
      </c>
    </row>
    <row r="19" spans="1:17" ht="15.75" thickBot="1" x14ac:dyDescent="0.3">
      <c r="A19" s="5">
        <f t="shared" si="3"/>
        <v>17</v>
      </c>
      <c r="B19" s="43"/>
      <c r="C19" s="18" t="s">
        <v>80</v>
      </c>
      <c r="D19" s="10" t="s">
        <v>81</v>
      </c>
      <c r="E19" s="10" t="s">
        <v>82</v>
      </c>
      <c r="F19" s="10" t="s">
        <v>83</v>
      </c>
      <c r="G19" s="11" t="s">
        <v>211</v>
      </c>
      <c r="H19" s="11"/>
      <c r="I19" s="10" t="s">
        <v>79</v>
      </c>
      <c r="J19" s="12">
        <v>1</v>
      </c>
      <c r="K19" s="11">
        <f t="shared" si="0"/>
        <v>5</v>
      </c>
      <c r="L19" s="13" t="s">
        <v>212</v>
      </c>
      <c r="M19" s="27">
        <v>0.37</v>
      </c>
      <c r="N19" s="27">
        <f t="shared" si="1"/>
        <v>0.37</v>
      </c>
      <c r="O19" s="27">
        <v>0.37</v>
      </c>
      <c r="P19" s="25">
        <f t="shared" si="2"/>
        <v>1.85</v>
      </c>
      <c r="Q19" s="11" t="s">
        <v>250</v>
      </c>
    </row>
    <row r="20" spans="1:17" ht="15.75" thickBot="1" x14ac:dyDescent="0.3">
      <c r="A20" s="5">
        <f t="shared" si="3"/>
        <v>18</v>
      </c>
      <c r="B20" s="43" t="s">
        <v>276</v>
      </c>
      <c r="C20" s="18" t="s">
        <v>93</v>
      </c>
      <c r="D20" s="10" t="s">
        <v>94</v>
      </c>
      <c r="E20" s="10" t="s">
        <v>95</v>
      </c>
      <c r="F20" s="10" t="s">
        <v>92</v>
      </c>
      <c r="G20" s="11" t="s">
        <v>221</v>
      </c>
      <c r="H20" s="11"/>
      <c r="I20" s="10" t="s">
        <v>92</v>
      </c>
      <c r="J20" s="12">
        <v>1</v>
      </c>
      <c r="K20" s="11">
        <f t="shared" si="0"/>
        <v>5</v>
      </c>
      <c r="L20" s="13" t="s">
        <v>212</v>
      </c>
      <c r="M20" s="27">
        <v>0.41</v>
      </c>
      <c r="N20" s="27">
        <f t="shared" si="1"/>
        <v>0.41</v>
      </c>
      <c r="O20" s="27">
        <v>0.41</v>
      </c>
      <c r="P20" s="25">
        <f t="shared" si="2"/>
        <v>2.0499999999999998</v>
      </c>
      <c r="Q20" s="11"/>
    </row>
    <row r="21" spans="1:17" ht="15.75" thickBot="1" x14ac:dyDescent="0.3">
      <c r="A21" s="5">
        <f t="shared" si="3"/>
        <v>19</v>
      </c>
      <c r="B21" s="43"/>
      <c r="C21" s="18" t="s">
        <v>97</v>
      </c>
      <c r="D21" s="10" t="s">
        <v>98</v>
      </c>
      <c r="E21" s="10" t="s">
        <v>99</v>
      </c>
      <c r="F21" s="10" t="s">
        <v>96</v>
      </c>
      <c r="G21" s="11" t="s">
        <v>222</v>
      </c>
      <c r="H21" s="11"/>
      <c r="I21" s="10" t="s">
        <v>96</v>
      </c>
      <c r="J21" s="12">
        <v>1</v>
      </c>
      <c r="K21" s="11">
        <f t="shared" si="0"/>
        <v>5</v>
      </c>
      <c r="L21" s="13" t="s">
        <v>212</v>
      </c>
      <c r="M21" s="27">
        <v>0.64</v>
      </c>
      <c r="N21" s="27">
        <f t="shared" si="1"/>
        <v>0.64</v>
      </c>
      <c r="O21" s="27">
        <v>0.64</v>
      </c>
      <c r="P21" s="25">
        <f t="shared" si="2"/>
        <v>3.2</v>
      </c>
      <c r="Q21" s="11"/>
    </row>
    <row r="22" spans="1:17" ht="15.75" thickBot="1" x14ac:dyDescent="0.3">
      <c r="A22" s="5">
        <f t="shared" si="3"/>
        <v>20</v>
      </c>
      <c r="B22" s="43" t="s">
        <v>277</v>
      </c>
      <c r="C22" s="18" t="s">
        <v>101</v>
      </c>
      <c r="D22" s="10" t="s">
        <v>102</v>
      </c>
      <c r="E22" s="10" t="s">
        <v>103</v>
      </c>
      <c r="F22" s="10" t="s">
        <v>104</v>
      </c>
      <c r="G22" s="11" t="s">
        <v>244</v>
      </c>
      <c r="H22" s="14" t="s">
        <v>251</v>
      </c>
      <c r="I22" s="10" t="s">
        <v>100</v>
      </c>
      <c r="J22" s="12">
        <v>6</v>
      </c>
      <c r="K22" s="11">
        <f t="shared" si="0"/>
        <v>30</v>
      </c>
      <c r="L22" s="13" t="s">
        <v>212</v>
      </c>
      <c r="M22" s="27">
        <v>0.1</v>
      </c>
      <c r="N22" s="27">
        <f t="shared" si="1"/>
        <v>0.60000000000000009</v>
      </c>
      <c r="O22" s="27">
        <v>2.7E-2</v>
      </c>
      <c r="P22" s="25">
        <f t="shared" si="2"/>
        <v>0.80999999999999994</v>
      </c>
      <c r="Q22" s="11"/>
    </row>
    <row r="23" spans="1:17" ht="15.75" thickBot="1" x14ac:dyDescent="0.3">
      <c r="A23" s="5">
        <f t="shared" si="3"/>
        <v>21</v>
      </c>
      <c r="B23" s="43"/>
      <c r="C23" s="18" t="s">
        <v>106</v>
      </c>
      <c r="D23" s="10" t="s">
        <v>107</v>
      </c>
      <c r="E23" s="10" t="s">
        <v>103</v>
      </c>
      <c r="F23" s="10" t="s">
        <v>108</v>
      </c>
      <c r="G23" s="11" t="s">
        <v>223</v>
      </c>
      <c r="H23" s="14" t="s">
        <v>252</v>
      </c>
      <c r="I23" s="10" t="s">
        <v>105</v>
      </c>
      <c r="J23" s="12">
        <v>1</v>
      </c>
      <c r="K23" s="11">
        <f t="shared" si="0"/>
        <v>5</v>
      </c>
      <c r="L23" s="13" t="s">
        <v>212</v>
      </c>
      <c r="M23" s="27">
        <v>0.1</v>
      </c>
      <c r="N23" s="27">
        <f t="shared" si="1"/>
        <v>0.1</v>
      </c>
      <c r="O23" s="27">
        <v>0.1</v>
      </c>
      <c r="P23" s="25">
        <f t="shared" si="2"/>
        <v>0.5</v>
      </c>
      <c r="Q23" s="11"/>
    </row>
    <row r="24" spans="1:17" ht="15.75" thickBot="1" x14ac:dyDescent="0.3">
      <c r="A24" s="5">
        <f t="shared" si="3"/>
        <v>22</v>
      </c>
      <c r="B24" s="43"/>
      <c r="C24" s="18" t="s">
        <v>110</v>
      </c>
      <c r="D24" s="10" t="s">
        <v>111</v>
      </c>
      <c r="E24" s="10" t="s">
        <v>103</v>
      </c>
      <c r="F24" s="10" t="s">
        <v>112</v>
      </c>
      <c r="G24" s="11" t="s">
        <v>223</v>
      </c>
      <c r="H24" s="11"/>
      <c r="I24" s="10" t="s">
        <v>109</v>
      </c>
      <c r="J24" s="12">
        <v>1</v>
      </c>
      <c r="K24" s="11">
        <f t="shared" si="0"/>
        <v>5</v>
      </c>
      <c r="L24" s="13" t="s">
        <v>212</v>
      </c>
      <c r="M24" s="27">
        <v>0.1</v>
      </c>
      <c r="N24" s="27">
        <f t="shared" si="1"/>
        <v>0.1</v>
      </c>
      <c r="O24" s="27">
        <v>0.1</v>
      </c>
      <c r="P24" s="25">
        <f t="shared" si="2"/>
        <v>0.5</v>
      </c>
      <c r="Q24" s="11"/>
    </row>
    <row r="25" spans="1:17" ht="15.75" thickBot="1" x14ac:dyDescent="0.3">
      <c r="A25" s="5">
        <f t="shared" si="3"/>
        <v>23</v>
      </c>
      <c r="B25" s="43"/>
      <c r="C25" s="18" t="s">
        <v>114</v>
      </c>
      <c r="D25" s="10" t="s">
        <v>115</v>
      </c>
      <c r="E25" s="10" t="s">
        <v>103</v>
      </c>
      <c r="F25" s="10" t="s">
        <v>116</v>
      </c>
      <c r="G25" s="11" t="s">
        <v>240</v>
      </c>
      <c r="H25" s="15" t="s">
        <v>253</v>
      </c>
      <c r="I25" s="10" t="s">
        <v>113</v>
      </c>
      <c r="J25" s="12">
        <v>1</v>
      </c>
      <c r="K25" s="11">
        <f t="shared" si="0"/>
        <v>5</v>
      </c>
      <c r="L25" s="13" t="s">
        <v>212</v>
      </c>
      <c r="M25" s="27">
        <v>0.1</v>
      </c>
      <c r="N25" s="27">
        <f t="shared" si="1"/>
        <v>0.1</v>
      </c>
      <c r="O25" s="27">
        <v>0.1</v>
      </c>
      <c r="P25" s="25">
        <f t="shared" si="2"/>
        <v>0.5</v>
      </c>
      <c r="Q25" s="11"/>
    </row>
    <row r="26" spans="1:17" ht="15.75" thickBot="1" x14ac:dyDescent="0.3">
      <c r="A26" s="5">
        <f t="shared" si="3"/>
        <v>24</v>
      </c>
      <c r="B26" s="43"/>
      <c r="C26" s="18" t="s">
        <v>118</v>
      </c>
      <c r="D26" s="10" t="s">
        <v>119</v>
      </c>
      <c r="E26" s="10" t="s">
        <v>103</v>
      </c>
      <c r="F26" s="10" t="s">
        <v>120</v>
      </c>
      <c r="G26" s="11" t="s">
        <v>240</v>
      </c>
      <c r="H26" s="14" t="s">
        <v>254</v>
      </c>
      <c r="I26" s="10" t="s">
        <v>117</v>
      </c>
      <c r="J26" s="12">
        <v>1</v>
      </c>
      <c r="K26" s="11">
        <f t="shared" si="0"/>
        <v>5</v>
      </c>
      <c r="L26" s="13" t="s">
        <v>212</v>
      </c>
      <c r="M26" s="27">
        <v>0.1</v>
      </c>
      <c r="N26" s="27">
        <f t="shared" si="1"/>
        <v>0.1</v>
      </c>
      <c r="O26" s="27">
        <v>0.1</v>
      </c>
      <c r="P26" s="25">
        <f t="shared" si="2"/>
        <v>0.5</v>
      </c>
      <c r="Q26" s="11"/>
    </row>
    <row r="27" spans="1:17" ht="15.75" thickBot="1" x14ac:dyDescent="0.3">
      <c r="A27" s="5">
        <f t="shared" si="3"/>
        <v>25</v>
      </c>
      <c r="B27" s="43"/>
      <c r="C27" s="18" t="s">
        <v>122</v>
      </c>
      <c r="D27" s="10" t="s">
        <v>123</v>
      </c>
      <c r="E27" s="10" t="s">
        <v>103</v>
      </c>
      <c r="F27" s="10" t="s">
        <v>124</v>
      </c>
      <c r="G27" s="11" t="s">
        <v>224</v>
      </c>
      <c r="H27" s="15" t="s">
        <v>255</v>
      </c>
      <c r="I27" s="10" t="s">
        <v>121</v>
      </c>
      <c r="J27" s="12">
        <v>1</v>
      </c>
      <c r="K27" s="11">
        <f t="shared" si="0"/>
        <v>5</v>
      </c>
      <c r="L27" s="13" t="s">
        <v>212</v>
      </c>
      <c r="M27" s="27">
        <v>0.1</v>
      </c>
      <c r="N27" s="27">
        <f t="shared" si="1"/>
        <v>0.1</v>
      </c>
      <c r="O27" s="27">
        <v>0.1</v>
      </c>
      <c r="P27" s="25">
        <f t="shared" si="2"/>
        <v>0.5</v>
      </c>
      <c r="Q27" s="11"/>
    </row>
    <row r="28" spans="1:17" ht="15.75" thickBot="1" x14ac:dyDescent="0.3">
      <c r="A28" s="5">
        <f t="shared" si="3"/>
        <v>26</v>
      </c>
      <c r="B28" s="43"/>
      <c r="C28" s="18" t="s">
        <v>126</v>
      </c>
      <c r="D28" s="10" t="s">
        <v>127</v>
      </c>
      <c r="E28" s="10" t="s">
        <v>103</v>
      </c>
      <c r="F28" s="10" t="s">
        <v>128</v>
      </c>
      <c r="G28" s="11" t="s">
        <v>240</v>
      </c>
      <c r="H28" s="14" t="s">
        <v>256</v>
      </c>
      <c r="I28" s="10" t="s">
        <v>125</v>
      </c>
      <c r="J28" s="12">
        <v>1</v>
      </c>
      <c r="K28" s="11">
        <f t="shared" si="0"/>
        <v>5</v>
      </c>
      <c r="L28" s="13" t="s">
        <v>212</v>
      </c>
      <c r="M28" s="27">
        <v>0.1</v>
      </c>
      <c r="N28" s="27">
        <f t="shared" si="1"/>
        <v>0.1</v>
      </c>
      <c r="O28" s="27">
        <v>0.1</v>
      </c>
      <c r="P28" s="25">
        <f t="shared" si="2"/>
        <v>0.5</v>
      </c>
      <c r="Q28" s="11"/>
    </row>
    <row r="29" spans="1:17" ht="15.75" thickBot="1" x14ac:dyDescent="0.3">
      <c r="A29" s="5">
        <f t="shared" si="3"/>
        <v>27</v>
      </c>
      <c r="B29" s="43"/>
      <c r="C29" s="18" t="s">
        <v>130</v>
      </c>
      <c r="D29" s="10" t="s">
        <v>131</v>
      </c>
      <c r="E29" s="10" t="s">
        <v>103</v>
      </c>
      <c r="F29" s="10" t="s">
        <v>132</v>
      </c>
      <c r="G29" s="11" t="s">
        <v>224</v>
      </c>
      <c r="H29" s="11"/>
      <c r="I29" s="10" t="s">
        <v>129</v>
      </c>
      <c r="J29" s="12">
        <v>2</v>
      </c>
      <c r="K29" s="11">
        <f t="shared" si="0"/>
        <v>10</v>
      </c>
      <c r="L29" s="13" t="s">
        <v>212</v>
      </c>
      <c r="M29" s="27">
        <v>0.1</v>
      </c>
      <c r="N29" s="27">
        <f t="shared" si="1"/>
        <v>0.2</v>
      </c>
      <c r="O29" s="27">
        <v>1.7999999999999999E-2</v>
      </c>
      <c r="P29" s="25">
        <f t="shared" si="2"/>
        <v>0.18</v>
      </c>
      <c r="Q29" s="11"/>
    </row>
    <row r="30" spans="1:17" ht="15.75" thickBot="1" x14ac:dyDescent="0.3">
      <c r="A30" s="5">
        <f t="shared" si="3"/>
        <v>28</v>
      </c>
      <c r="B30" s="43"/>
      <c r="C30" s="18" t="s">
        <v>134</v>
      </c>
      <c r="D30" s="10" t="s">
        <v>135</v>
      </c>
      <c r="E30" s="10" t="s">
        <v>103</v>
      </c>
      <c r="F30" s="10" t="s">
        <v>136</v>
      </c>
      <c r="G30" s="11" t="s">
        <v>223</v>
      </c>
      <c r="H30" s="11"/>
      <c r="I30" s="10" t="s">
        <v>133</v>
      </c>
      <c r="J30" s="12">
        <v>1</v>
      </c>
      <c r="K30" s="11">
        <f t="shared" si="0"/>
        <v>5</v>
      </c>
      <c r="L30" s="13" t="s">
        <v>212</v>
      </c>
      <c r="M30" s="27">
        <v>0.1</v>
      </c>
      <c r="N30" s="27">
        <f t="shared" si="1"/>
        <v>0.1</v>
      </c>
      <c r="O30" s="27">
        <v>0.1</v>
      </c>
      <c r="P30" s="25">
        <f t="shared" si="2"/>
        <v>0.5</v>
      </c>
      <c r="Q30" s="11"/>
    </row>
    <row r="31" spans="1:17" ht="15.75" thickBot="1" x14ac:dyDescent="0.3">
      <c r="A31" s="5">
        <f t="shared" si="3"/>
        <v>29</v>
      </c>
      <c r="B31" s="43"/>
      <c r="C31" s="18" t="s">
        <v>138</v>
      </c>
      <c r="D31" s="10" t="s">
        <v>139</v>
      </c>
      <c r="E31" s="10" t="s">
        <v>103</v>
      </c>
      <c r="F31" s="10" t="s">
        <v>140</v>
      </c>
      <c r="G31" s="11" t="s">
        <v>240</v>
      </c>
      <c r="H31" s="14" t="s">
        <v>257</v>
      </c>
      <c r="I31" s="10" t="s">
        <v>137</v>
      </c>
      <c r="J31" s="12">
        <v>1</v>
      </c>
      <c r="K31" s="11">
        <f t="shared" si="0"/>
        <v>5</v>
      </c>
      <c r="L31" s="13" t="s">
        <v>212</v>
      </c>
      <c r="M31" s="27">
        <v>0.1</v>
      </c>
      <c r="N31" s="27">
        <f t="shared" si="1"/>
        <v>0.1</v>
      </c>
      <c r="O31" s="27">
        <v>0.1</v>
      </c>
      <c r="P31" s="25">
        <f t="shared" si="2"/>
        <v>0.5</v>
      </c>
      <c r="Q31" s="11"/>
    </row>
    <row r="32" spans="1:17" ht="15.75" thickBot="1" x14ac:dyDescent="0.3">
      <c r="A32" s="5">
        <f t="shared" si="3"/>
        <v>30</v>
      </c>
      <c r="B32" s="43"/>
      <c r="C32" s="18" t="s">
        <v>141</v>
      </c>
      <c r="D32" s="10" t="s">
        <v>142</v>
      </c>
      <c r="E32" s="10" t="s">
        <v>103</v>
      </c>
      <c r="F32" s="10" t="s">
        <v>143</v>
      </c>
      <c r="G32" s="11" t="s">
        <v>211</v>
      </c>
      <c r="H32" s="16"/>
      <c r="I32" s="10" t="s">
        <v>100</v>
      </c>
      <c r="J32" s="12">
        <v>1</v>
      </c>
      <c r="K32" s="11">
        <f t="shared" si="0"/>
        <v>5</v>
      </c>
      <c r="L32" s="13" t="s">
        <v>212</v>
      </c>
      <c r="M32" s="27">
        <v>0.31</v>
      </c>
      <c r="N32" s="27">
        <f t="shared" si="1"/>
        <v>0.31</v>
      </c>
      <c r="O32" s="27">
        <v>0.31</v>
      </c>
      <c r="P32" s="25">
        <f t="shared" si="2"/>
        <v>1.55</v>
      </c>
      <c r="Q32" s="11"/>
    </row>
    <row r="33" spans="1:17" ht="15.75" thickBot="1" x14ac:dyDescent="0.3">
      <c r="A33" s="5">
        <f t="shared" si="3"/>
        <v>31</v>
      </c>
      <c r="B33" s="43"/>
      <c r="C33" s="18" t="s">
        <v>145</v>
      </c>
      <c r="D33" s="10" t="s">
        <v>146</v>
      </c>
      <c r="E33" s="10" t="s">
        <v>103</v>
      </c>
      <c r="F33" s="10" t="s">
        <v>147</v>
      </c>
      <c r="G33" s="11" t="s">
        <v>223</v>
      </c>
      <c r="H33" s="14" t="s">
        <v>258</v>
      </c>
      <c r="I33" s="10" t="s">
        <v>144</v>
      </c>
      <c r="J33" s="12">
        <v>1</v>
      </c>
      <c r="K33" s="11">
        <f t="shared" si="0"/>
        <v>5</v>
      </c>
      <c r="L33" s="13" t="s">
        <v>212</v>
      </c>
      <c r="M33" s="27">
        <v>0.1</v>
      </c>
      <c r="N33" s="27">
        <f t="shared" si="1"/>
        <v>0.1</v>
      </c>
      <c r="O33" s="27">
        <v>0.1</v>
      </c>
      <c r="P33" s="25">
        <f t="shared" si="2"/>
        <v>0.5</v>
      </c>
      <c r="Q33" s="11"/>
    </row>
    <row r="34" spans="1:17" ht="15.75" thickBot="1" x14ac:dyDescent="0.3">
      <c r="A34" s="5">
        <f t="shared" si="3"/>
        <v>32</v>
      </c>
      <c r="B34" s="43"/>
      <c r="C34" s="18" t="s">
        <v>149</v>
      </c>
      <c r="D34" s="10" t="s">
        <v>150</v>
      </c>
      <c r="E34" s="10" t="s">
        <v>103</v>
      </c>
      <c r="F34" s="10" t="s">
        <v>151</v>
      </c>
      <c r="G34" s="11" t="s">
        <v>225</v>
      </c>
      <c r="H34" s="14" t="s">
        <v>259</v>
      </c>
      <c r="I34" s="10" t="s">
        <v>148</v>
      </c>
      <c r="J34" s="12">
        <v>1</v>
      </c>
      <c r="K34" s="11">
        <f t="shared" si="0"/>
        <v>5</v>
      </c>
      <c r="L34" s="13" t="s">
        <v>212</v>
      </c>
      <c r="M34" s="27">
        <v>0.1</v>
      </c>
      <c r="N34" s="27">
        <f t="shared" si="1"/>
        <v>0.1</v>
      </c>
      <c r="O34" s="27">
        <v>0.1</v>
      </c>
      <c r="P34" s="25">
        <f t="shared" si="2"/>
        <v>0.5</v>
      </c>
      <c r="Q34" s="11"/>
    </row>
    <row r="35" spans="1:17" ht="15.75" thickBot="1" x14ac:dyDescent="0.3">
      <c r="A35" s="5">
        <f t="shared" si="3"/>
        <v>33</v>
      </c>
      <c r="B35" s="9" t="s">
        <v>278</v>
      </c>
      <c r="C35" s="18" t="s">
        <v>156</v>
      </c>
      <c r="D35" s="10" t="s">
        <v>157</v>
      </c>
      <c r="E35" s="10" t="s">
        <v>155</v>
      </c>
      <c r="F35" s="10" t="s">
        <v>155</v>
      </c>
      <c r="G35" s="11" t="s">
        <v>226</v>
      </c>
      <c r="H35" s="11"/>
      <c r="I35" s="10" t="s">
        <v>155</v>
      </c>
      <c r="J35" s="12">
        <v>1</v>
      </c>
      <c r="K35" s="11">
        <f t="shared" si="0"/>
        <v>5</v>
      </c>
      <c r="L35" s="13" t="s">
        <v>212</v>
      </c>
      <c r="M35" s="27">
        <v>0.96</v>
      </c>
      <c r="N35" s="27">
        <f t="shared" si="1"/>
        <v>0.96</v>
      </c>
      <c r="O35" s="27">
        <v>0.96</v>
      </c>
      <c r="P35" s="25">
        <f t="shared" si="2"/>
        <v>4.8</v>
      </c>
      <c r="Q35" s="11" t="s">
        <v>227</v>
      </c>
    </row>
    <row r="36" spans="1:17" ht="15.75" thickBot="1" x14ac:dyDescent="0.3">
      <c r="A36" s="5">
        <f t="shared" si="3"/>
        <v>34</v>
      </c>
      <c r="B36" s="9" t="s">
        <v>279</v>
      </c>
      <c r="C36" s="18" t="s">
        <v>159</v>
      </c>
      <c r="D36" s="10" t="s">
        <v>160</v>
      </c>
      <c r="E36" s="10" t="s">
        <v>158</v>
      </c>
      <c r="F36" s="10" t="s">
        <v>158</v>
      </c>
      <c r="G36" s="11" t="s">
        <v>219</v>
      </c>
      <c r="H36" s="11"/>
      <c r="I36" s="10" t="s">
        <v>158</v>
      </c>
      <c r="J36" s="12">
        <v>1</v>
      </c>
      <c r="K36" s="11">
        <f t="shared" si="0"/>
        <v>5</v>
      </c>
      <c r="L36" s="13" t="s">
        <v>212</v>
      </c>
      <c r="M36" s="27">
        <v>0.56000000000000005</v>
      </c>
      <c r="N36" s="27">
        <f t="shared" si="1"/>
        <v>0.56000000000000005</v>
      </c>
      <c r="O36" s="27">
        <v>0.56000000000000005</v>
      </c>
      <c r="P36" s="25">
        <f t="shared" si="2"/>
        <v>2.8000000000000003</v>
      </c>
      <c r="Q36" s="11"/>
    </row>
    <row r="37" spans="1:17" ht="15.75" thickBot="1" x14ac:dyDescent="0.3">
      <c r="A37" s="5">
        <f t="shared" si="3"/>
        <v>35</v>
      </c>
      <c r="B37" s="43" t="s">
        <v>280</v>
      </c>
      <c r="C37" s="18" t="s">
        <v>162</v>
      </c>
      <c r="D37" s="10" t="s">
        <v>163</v>
      </c>
      <c r="E37" s="10" t="s">
        <v>164</v>
      </c>
      <c r="F37" s="10" t="s">
        <v>161</v>
      </c>
      <c r="G37" s="11" t="s">
        <v>161</v>
      </c>
      <c r="H37" s="11"/>
      <c r="I37" s="10" t="s">
        <v>161</v>
      </c>
      <c r="J37" s="12">
        <v>1</v>
      </c>
      <c r="K37" s="11">
        <f t="shared" si="0"/>
        <v>5</v>
      </c>
      <c r="L37" s="13" t="s">
        <v>212</v>
      </c>
      <c r="M37" s="27">
        <v>4.95</v>
      </c>
      <c r="N37" s="27">
        <f t="shared" si="1"/>
        <v>4.95</v>
      </c>
      <c r="O37" s="27">
        <v>4.95</v>
      </c>
      <c r="P37" s="25">
        <f t="shared" si="2"/>
        <v>24.75</v>
      </c>
      <c r="Q37" s="11" t="s">
        <v>260</v>
      </c>
    </row>
    <row r="38" spans="1:17" ht="15.75" thickBot="1" x14ac:dyDescent="0.3">
      <c r="A38" s="5">
        <f t="shared" si="3"/>
        <v>36</v>
      </c>
      <c r="B38" s="43"/>
      <c r="C38" s="18" t="s">
        <v>166</v>
      </c>
      <c r="D38" s="10" t="s">
        <v>167</v>
      </c>
      <c r="E38" s="10" t="s">
        <v>168</v>
      </c>
      <c r="F38" s="10" t="s">
        <v>165</v>
      </c>
      <c r="G38" s="11" t="s">
        <v>243</v>
      </c>
      <c r="H38" s="11"/>
      <c r="I38" s="10" t="s">
        <v>165</v>
      </c>
      <c r="J38" s="12">
        <v>1</v>
      </c>
      <c r="K38" s="11">
        <f t="shared" si="0"/>
        <v>5</v>
      </c>
      <c r="L38" s="13" t="s">
        <v>265</v>
      </c>
      <c r="M38" s="38">
        <v>2.1254900000000001</v>
      </c>
      <c r="N38" s="27">
        <f t="shared" si="1"/>
        <v>2.1254900000000001</v>
      </c>
      <c r="O38" s="38">
        <v>2.1254900000000001</v>
      </c>
      <c r="P38" s="25">
        <f t="shared" si="2"/>
        <v>10.62745</v>
      </c>
      <c r="Q38" s="11"/>
    </row>
    <row r="39" spans="1:17" ht="15.75" thickBot="1" x14ac:dyDescent="0.3">
      <c r="A39" s="5">
        <f t="shared" si="3"/>
        <v>37</v>
      </c>
      <c r="B39" s="43"/>
      <c r="C39" s="18" t="s">
        <v>170</v>
      </c>
      <c r="D39" s="10" t="s">
        <v>171</v>
      </c>
      <c r="E39" s="10" t="s">
        <v>172</v>
      </c>
      <c r="F39" s="10" t="s">
        <v>169</v>
      </c>
      <c r="G39" s="11" t="s">
        <v>228</v>
      </c>
      <c r="H39" s="11"/>
      <c r="I39" s="10" t="s">
        <v>169</v>
      </c>
      <c r="J39" s="12">
        <v>1</v>
      </c>
      <c r="K39" s="11">
        <f t="shared" si="0"/>
        <v>5</v>
      </c>
      <c r="L39" s="13" t="s">
        <v>212</v>
      </c>
      <c r="M39" s="27">
        <v>13.55</v>
      </c>
      <c r="N39" s="27">
        <f t="shared" si="1"/>
        <v>13.55</v>
      </c>
      <c r="O39" s="27">
        <v>13.55</v>
      </c>
      <c r="P39" s="25">
        <f t="shared" si="2"/>
        <v>67.75</v>
      </c>
      <c r="Q39" s="11" t="s">
        <v>261</v>
      </c>
    </row>
    <row r="40" spans="1:17" ht="15.75" thickBot="1" x14ac:dyDescent="0.3">
      <c r="A40" s="5">
        <f t="shared" si="3"/>
        <v>38</v>
      </c>
      <c r="B40" s="43"/>
      <c r="C40" s="18" t="s">
        <v>174</v>
      </c>
      <c r="D40" s="10" t="s">
        <v>175</v>
      </c>
      <c r="E40" s="10" t="s">
        <v>176</v>
      </c>
      <c r="F40" s="10" t="s">
        <v>173</v>
      </c>
      <c r="G40" s="11" t="s">
        <v>229</v>
      </c>
      <c r="H40" s="11"/>
      <c r="I40" s="10" t="s">
        <v>173</v>
      </c>
      <c r="J40" s="12">
        <v>1</v>
      </c>
      <c r="K40" s="11">
        <f t="shared" si="0"/>
        <v>5</v>
      </c>
      <c r="L40" s="13" t="s">
        <v>212</v>
      </c>
      <c r="M40" s="27">
        <v>0.61</v>
      </c>
      <c r="N40" s="27">
        <f t="shared" si="1"/>
        <v>0.61</v>
      </c>
      <c r="O40" s="27">
        <v>0.61</v>
      </c>
      <c r="P40" s="25">
        <f t="shared" si="2"/>
        <v>3.05</v>
      </c>
      <c r="Q40" s="11" t="s">
        <v>261</v>
      </c>
    </row>
    <row r="41" spans="1:17" ht="15.75" thickBot="1" x14ac:dyDescent="0.3">
      <c r="A41" s="5">
        <f t="shared" si="3"/>
        <v>39</v>
      </c>
      <c r="B41" s="43"/>
      <c r="C41" s="18" t="s">
        <v>178</v>
      </c>
      <c r="D41" s="10" t="s">
        <v>179</v>
      </c>
      <c r="E41" s="10" t="s">
        <v>180</v>
      </c>
      <c r="F41" s="10" t="s">
        <v>177</v>
      </c>
      <c r="G41" s="11" t="s">
        <v>242</v>
      </c>
      <c r="H41" s="11"/>
      <c r="I41" s="10" t="s">
        <v>177</v>
      </c>
      <c r="J41" s="12">
        <v>1</v>
      </c>
      <c r="K41" s="11">
        <f t="shared" si="0"/>
        <v>5</v>
      </c>
      <c r="L41" s="13" t="s">
        <v>265</v>
      </c>
      <c r="M41" s="38">
        <v>0.47705999999999998</v>
      </c>
      <c r="N41" s="27">
        <f t="shared" si="1"/>
        <v>0.47705999999999998</v>
      </c>
      <c r="O41" s="38">
        <v>0.47705999999999998</v>
      </c>
      <c r="P41" s="25">
        <f t="shared" si="2"/>
        <v>2.3853</v>
      </c>
      <c r="Q41" s="11" t="s">
        <v>267</v>
      </c>
    </row>
    <row r="42" spans="1:17" ht="15.75" thickBot="1" x14ac:dyDescent="0.3">
      <c r="A42" s="5">
        <f t="shared" si="3"/>
        <v>40</v>
      </c>
      <c r="B42" s="43"/>
      <c r="C42" s="18" t="s">
        <v>182</v>
      </c>
      <c r="D42" s="10" t="s">
        <v>183</v>
      </c>
      <c r="E42" s="10" t="s">
        <v>184</v>
      </c>
      <c r="F42" s="10" t="s">
        <v>181</v>
      </c>
      <c r="G42" s="11" t="s">
        <v>241</v>
      </c>
      <c r="H42" s="11"/>
      <c r="I42" s="10" t="s">
        <v>181</v>
      </c>
      <c r="J42" s="12">
        <v>1</v>
      </c>
      <c r="K42" s="11">
        <f t="shared" si="0"/>
        <v>5</v>
      </c>
      <c r="L42" s="13" t="s">
        <v>265</v>
      </c>
      <c r="M42" s="38">
        <v>0.2616</v>
      </c>
      <c r="N42" s="27">
        <f t="shared" si="1"/>
        <v>0.2616</v>
      </c>
      <c r="O42" s="38">
        <v>0.2616</v>
      </c>
      <c r="P42" s="25">
        <f t="shared" si="2"/>
        <v>1.3080000000000001</v>
      </c>
      <c r="Q42" s="11" t="s">
        <v>266</v>
      </c>
    </row>
    <row r="43" spans="1:17" ht="15.75" thickBot="1" x14ac:dyDescent="0.3">
      <c r="A43" s="5">
        <f t="shared" si="3"/>
        <v>41</v>
      </c>
      <c r="B43" s="43"/>
      <c r="C43" s="18" t="s">
        <v>186</v>
      </c>
      <c r="D43" s="10" t="s">
        <v>187</v>
      </c>
      <c r="E43" s="10" t="s">
        <v>188</v>
      </c>
      <c r="F43" s="10" t="s">
        <v>185</v>
      </c>
      <c r="G43" s="11" t="s">
        <v>229</v>
      </c>
      <c r="H43" s="11"/>
      <c r="I43" s="10" t="s">
        <v>185</v>
      </c>
      <c r="J43" s="12">
        <v>1</v>
      </c>
      <c r="K43" s="11">
        <f t="shared" si="0"/>
        <v>5</v>
      </c>
      <c r="L43" s="13" t="s">
        <v>212</v>
      </c>
      <c r="M43" s="27">
        <v>0.79</v>
      </c>
      <c r="N43" s="27">
        <f t="shared" si="1"/>
        <v>0.79</v>
      </c>
      <c r="O43" s="27">
        <v>0.79</v>
      </c>
      <c r="P43" s="25">
        <f t="shared" si="2"/>
        <v>3.95</v>
      </c>
      <c r="Q43" s="11" t="s">
        <v>262</v>
      </c>
    </row>
    <row r="44" spans="1:17" ht="15.75" thickBot="1" x14ac:dyDescent="0.3">
      <c r="A44" s="5">
        <f t="shared" si="3"/>
        <v>42</v>
      </c>
      <c r="B44" s="43"/>
      <c r="C44" s="18" t="s">
        <v>190</v>
      </c>
      <c r="D44" s="10" t="s">
        <v>191</v>
      </c>
      <c r="E44" s="10" t="s">
        <v>192</v>
      </c>
      <c r="F44" s="10" t="s">
        <v>189</v>
      </c>
      <c r="G44" s="11" t="s">
        <v>222</v>
      </c>
      <c r="H44" s="11"/>
      <c r="I44" s="10" t="s">
        <v>189</v>
      </c>
      <c r="J44" s="12">
        <v>1</v>
      </c>
      <c r="K44" s="11">
        <f t="shared" si="0"/>
        <v>5</v>
      </c>
      <c r="L44" s="13" t="s">
        <v>212</v>
      </c>
      <c r="M44" s="27">
        <v>0.56000000000000005</v>
      </c>
      <c r="N44" s="27">
        <f t="shared" si="1"/>
        <v>0.56000000000000005</v>
      </c>
      <c r="O44" s="27">
        <v>0.56000000000000005</v>
      </c>
      <c r="P44" s="25">
        <f t="shared" si="2"/>
        <v>2.8000000000000003</v>
      </c>
      <c r="Q44" s="11" t="s">
        <v>262</v>
      </c>
    </row>
    <row r="45" spans="1:17" ht="15.75" thickBot="1" x14ac:dyDescent="0.3">
      <c r="A45" s="5">
        <f t="shared" si="3"/>
        <v>43</v>
      </c>
      <c r="B45" s="43"/>
      <c r="C45" s="18" t="s">
        <v>194</v>
      </c>
      <c r="D45" s="10" t="s">
        <v>195</v>
      </c>
      <c r="E45" s="10" t="s">
        <v>196</v>
      </c>
      <c r="F45" s="10" t="s">
        <v>193</v>
      </c>
      <c r="G45" s="11" t="s">
        <v>230</v>
      </c>
      <c r="H45" s="11"/>
      <c r="I45" s="10" t="s">
        <v>193</v>
      </c>
      <c r="J45" s="12">
        <v>1</v>
      </c>
      <c r="K45" s="11">
        <f t="shared" si="0"/>
        <v>5</v>
      </c>
      <c r="L45" s="13" t="s">
        <v>212</v>
      </c>
      <c r="M45" s="27">
        <v>2.19</v>
      </c>
      <c r="N45" s="27">
        <f t="shared" si="1"/>
        <v>2.19</v>
      </c>
      <c r="O45" s="27">
        <v>2.19</v>
      </c>
      <c r="P45" s="25">
        <f t="shared" si="2"/>
        <v>10.95</v>
      </c>
      <c r="Q45" s="11"/>
    </row>
    <row r="46" spans="1:17" ht="15.75" thickBot="1" x14ac:dyDescent="0.3">
      <c r="A46" s="5">
        <f t="shared" si="3"/>
        <v>44</v>
      </c>
      <c r="B46" s="43" t="s">
        <v>281</v>
      </c>
      <c r="C46" s="18" t="s">
        <v>54</v>
      </c>
      <c r="D46" s="10" t="s">
        <v>55</v>
      </c>
      <c r="E46" s="10" t="s">
        <v>53</v>
      </c>
      <c r="F46" s="10" t="s">
        <v>53</v>
      </c>
      <c r="G46" s="11" t="s">
        <v>231</v>
      </c>
      <c r="H46" s="11"/>
      <c r="I46" s="10" t="s">
        <v>53</v>
      </c>
      <c r="J46" s="12">
        <v>1</v>
      </c>
      <c r="K46" s="11">
        <f t="shared" si="0"/>
        <v>5</v>
      </c>
      <c r="L46" s="13" t="s">
        <v>212</v>
      </c>
      <c r="M46" s="27">
        <v>1.19</v>
      </c>
      <c r="N46" s="27">
        <f t="shared" si="1"/>
        <v>1.19</v>
      </c>
      <c r="O46" s="27">
        <v>1.19</v>
      </c>
      <c r="P46" s="25">
        <f t="shared" si="2"/>
        <v>5.9499999999999993</v>
      </c>
      <c r="Q46" s="11" t="s">
        <v>263</v>
      </c>
    </row>
    <row r="47" spans="1:17" ht="15.75" thickBot="1" x14ac:dyDescent="0.3">
      <c r="A47" s="5">
        <f t="shared" si="3"/>
        <v>45</v>
      </c>
      <c r="B47" s="43"/>
      <c r="C47" s="18" t="s">
        <v>66</v>
      </c>
      <c r="D47" s="10" t="s">
        <v>67</v>
      </c>
      <c r="E47" s="10" t="s">
        <v>65</v>
      </c>
      <c r="F47" s="10" t="s">
        <v>65</v>
      </c>
      <c r="G47" s="11" t="s">
        <v>264</v>
      </c>
      <c r="H47" s="11"/>
      <c r="I47" s="10" t="s">
        <v>65</v>
      </c>
      <c r="J47" s="12">
        <v>1</v>
      </c>
      <c r="K47" s="11">
        <f>J47*5</f>
        <v>5</v>
      </c>
      <c r="L47" s="11"/>
      <c r="M47" s="27"/>
      <c r="N47" s="27"/>
      <c r="O47" s="27"/>
      <c r="P47" s="11"/>
      <c r="Q47" s="11" t="s">
        <v>282</v>
      </c>
    </row>
    <row r="48" spans="1:17" ht="15.75" thickBot="1" x14ac:dyDescent="0.3">
      <c r="A48" s="5">
        <f t="shared" si="3"/>
        <v>46</v>
      </c>
      <c r="B48" s="43"/>
      <c r="C48" s="18" t="s">
        <v>63</v>
      </c>
      <c r="D48" s="10" t="s">
        <v>64</v>
      </c>
      <c r="E48" s="10" t="s">
        <v>62</v>
      </c>
      <c r="F48" s="10" t="s">
        <v>62</v>
      </c>
      <c r="G48" s="11" t="s">
        <v>232</v>
      </c>
      <c r="H48" s="11"/>
      <c r="I48" s="10" t="s">
        <v>62</v>
      </c>
      <c r="J48" s="12">
        <v>1</v>
      </c>
      <c r="K48" s="11">
        <f>J48*5</f>
        <v>5</v>
      </c>
      <c r="L48" s="2"/>
      <c r="M48" s="29">
        <v>0</v>
      </c>
      <c r="N48" s="30"/>
      <c r="O48" s="29">
        <v>0</v>
      </c>
      <c r="P48" s="17"/>
      <c r="Q48" s="8" t="s">
        <v>270</v>
      </c>
    </row>
    <row r="49" spans="1:17" ht="15.75" thickBot="1" x14ac:dyDescent="0.3">
      <c r="A49" s="5">
        <f t="shared" si="3"/>
        <v>47</v>
      </c>
      <c r="B49" s="43"/>
      <c r="C49" s="18" t="s">
        <v>57</v>
      </c>
      <c r="D49" s="10" t="s">
        <v>58</v>
      </c>
      <c r="E49" s="10" t="s">
        <v>56</v>
      </c>
      <c r="F49" s="10" t="s">
        <v>56</v>
      </c>
      <c r="G49" s="11"/>
      <c r="H49" s="11"/>
      <c r="I49" s="10" t="s">
        <v>56</v>
      </c>
      <c r="J49" s="12">
        <v>1</v>
      </c>
      <c r="K49" s="11">
        <f>J49*5</f>
        <v>5</v>
      </c>
      <c r="L49" s="2" t="s">
        <v>271</v>
      </c>
      <c r="M49" s="2" t="s">
        <v>272</v>
      </c>
      <c r="N49" s="3"/>
      <c r="O49" s="3"/>
      <c r="P49" s="2"/>
      <c r="Q49" s="8" t="s">
        <v>270</v>
      </c>
    </row>
    <row r="50" spans="1:17" ht="15.75" thickBot="1" x14ac:dyDescent="0.3">
      <c r="A50" s="5">
        <f t="shared" si="3"/>
        <v>48</v>
      </c>
      <c r="B50" s="43"/>
      <c r="C50" s="18" t="s">
        <v>60</v>
      </c>
      <c r="D50" s="10" t="s">
        <v>61</v>
      </c>
      <c r="E50" s="10" t="s">
        <v>59</v>
      </c>
      <c r="F50" s="10" t="s">
        <v>59</v>
      </c>
      <c r="G50" s="11"/>
      <c r="H50" s="11"/>
      <c r="I50" s="10" t="s">
        <v>59</v>
      </c>
      <c r="J50" s="12">
        <v>2</v>
      </c>
      <c r="K50" s="11">
        <f>J50*5</f>
        <v>10</v>
      </c>
      <c r="L50" s="2" t="s">
        <v>271</v>
      </c>
      <c r="M50" s="2" t="s">
        <v>272</v>
      </c>
      <c r="N50" s="3"/>
      <c r="O50" s="3"/>
      <c r="P50" s="2"/>
      <c r="Q50" s="8" t="s">
        <v>270</v>
      </c>
    </row>
    <row r="51" spans="1:17" ht="15.75" thickBot="1" x14ac:dyDescent="0.3">
      <c r="A51" s="5">
        <f t="shared" si="3"/>
        <v>49</v>
      </c>
      <c r="B51" s="43"/>
      <c r="C51" s="18" t="s">
        <v>89</v>
      </c>
      <c r="D51" s="10" t="s">
        <v>90</v>
      </c>
      <c r="E51" s="10" t="s">
        <v>91</v>
      </c>
      <c r="F51" s="10" t="s">
        <v>91</v>
      </c>
      <c r="G51" s="11"/>
      <c r="H51" s="11"/>
      <c r="I51" s="10" t="s">
        <v>88</v>
      </c>
      <c r="J51" s="12">
        <v>1</v>
      </c>
      <c r="K51" s="11">
        <f t="shared" si="0"/>
        <v>5</v>
      </c>
      <c r="L51" s="2" t="s">
        <v>271</v>
      </c>
      <c r="M51" s="2" t="s">
        <v>272</v>
      </c>
      <c r="N51" s="3"/>
      <c r="O51" s="3"/>
      <c r="P51" s="2"/>
      <c r="Q51" s="8" t="s">
        <v>270</v>
      </c>
    </row>
    <row r="52" spans="1:17" ht="15.75" thickBot="1" x14ac:dyDescent="0.3">
      <c r="A52" s="31">
        <f t="shared" si="3"/>
        <v>50</v>
      </c>
      <c r="B52" s="44"/>
      <c r="C52" s="32" t="s">
        <v>153</v>
      </c>
      <c r="D52" s="33" t="s">
        <v>154</v>
      </c>
      <c r="E52" s="33" t="s">
        <v>152</v>
      </c>
      <c r="F52" s="10" t="s">
        <v>152</v>
      </c>
      <c r="G52" s="11"/>
      <c r="H52" s="34"/>
      <c r="I52" s="33" t="s">
        <v>152</v>
      </c>
      <c r="J52" s="35">
        <v>14</v>
      </c>
      <c r="K52" s="34">
        <f t="shared" si="0"/>
        <v>70</v>
      </c>
      <c r="L52" s="36" t="s">
        <v>271</v>
      </c>
      <c r="M52" s="36" t="s">
        <v>272</v>
      </c>
      <c r="N52" s="37"/>
      <c r="O52" s="37"/>
      <c r="P52" s="36"/>
      <c r="Q52" s="8" t="s">
        <v>270</v>
      </c>
    </row>
    <row r="53" spans="1:17" ht="15.75" thickBot="1" x14ac:dyDescent="0.3">
      <c r="A53" s="31">
        <f t="shared" si="3"/>
        <v>51</v>
      </c>
      <c r="B53" s="9" t="s">
        <v>283</v>
      </c>
      <c r="C53" s="7" t="s">
        <v>284</v>
      </c>
      <c r="D53" s="11" t="s">
        <v>283</v>
      </c>
      <c r="E53" s="11"/>
      <c r="F53" s="11" t="s">
        <v>291</v>
      </c>
      <c r="G53" s="11"/>
      <c r="H53" s="11"/>
      <c r="I53" s="11"/>
      <c r="J53" s="11">
        <v>1</v>
      </c>
      <c r="K53" s="11">
        <v>3</v>
      </c>
      <c r="L53" s="11"/>
      <c r="M53" s="11"/>
      <c r="N53" s="11"/>
      <c r="O53" s="11"/>
      <c r="P53" s="11"/>
      <c r="Q53" s="8" t="s">
        <v>285</v>
      </c>
    </row>
    <row r="54" spans="1:17" x14ac:dyDescent="0.25">
      <c r="A54" s="31">
        <f t="shared" si="3"/>
        <v>52</v>
      </c>
      <c r="B54" s="9" t="s">
        <v>286</v>
      </c>
      <c r="C54" s="7"/>
      <c r="D54" s="7"/>
      <c r="E54" s="7"/>
      <c r="F54" s="7"/>
      <c r="G54" s="11"/>
      <c r="H54" s="7"/>
      <c r="I54" s="7"/>
      <c r="J54" s="7"/>
      <c r="K54" s="7"/>
      <c r="L54" s="7"/>
      <c r="M54" s="7"/>
      <c r="N54" s="7"/>
      <c r="O54" s="7"/>
      <c r="P54" s="7"/>
      <c r="Q54" s="8" t="s">
        <v>287</v>
      </c>
    </row>
    <row r="55" spans="1:17" ht="19.5" thickBot="1" x14ac:dyDescent="0.35">
      <c r="J55" s="45" t="s">
        <v>288</v>
      </c>
      <c r="K55" s="45"/>
      <c r="L55" s="45"/>
      <c r="M55" s="45"/>
      <c r="P55" s="40">
        <f>SUM(P3:P46)</f>
        <v>203.50659999999996</v>
      </c>
    </row>
    <row r="56" spans="1:17" ht="18.75" x14ac:dyDescent="0.3">
      <c r="J56" s="46" t="s">
        <v>289</v>
      </c>
      <c r="K56" s="46"/>
      <c r="L56" s="46"/>
      <c r="M56" s="46"/>
      <c r="N56" s="39">
        <f>SUM(N3:N46)</f>
        <v>44.474119999999999</v>
      </c>
      <c r="P56" s="40">
        <f>P55/5</f>
        <v>40.701319999999996</v>
      </c>
    </row>
  </sheetData>
  <mergeCells count="10">
    <mergeCell ref="A1:Q1"/>
    <mergeCell ref="B3:B12"/>
    <mergeCell ref="B13:B15"/>
    <mergeCell ref="B16:B19"/>
    <mergeCell ref="B20:B21"/>
    <mergeCell ref="B22:B34"/>
    <mergeCell ref="B37:B45"/>
    <mergeCell ref="B46:B52"/>
    <mergeCell ref="J55:M55"/>
    <mergeCell ref="J56:M56"/>
  </mergeCells>
  <conditionalFormatting sqref="N56:P5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{8DBC2746-D05D-466B-8B7A-FA58F46E438D}</x14:id>
        </ext>
      </extLst>
    </cfRule>
  </conditionalFormatting>
  <conditionalFormatting sqref="N3:N46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{C4653D46-9E1E-4A9D-9BBE-F1F10435DCED}</x14:id>
        </ext>
      </extLst>
    </cfRule>
  </conditionalFormatting>
  <conditionalFormatting sqref="P3:P4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{C5B0272F-C97A-4700-81BF-90C991FA66E7}</x14:id>
        </ext>
      </extLst>
    </cfRule>
  </conditionalFormatting>
  <conditionalFormatting sqref="J3:K5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L3" r:id="rId1"/>
    <hyperlink ref="L4" r:id="rId2"/>
    <hyperlink ref="L5" r:id="rId3"/>
    <hyperlink ref="L8" r:id="rId4"/>
    <hyperlink ref="G11" r:id="rId5" display="https://www.digikey.com/en/supplier-centers/murata-electronics"/>
    <hyperlink ref="G12" r:id="rId6" display="https://www.digikey.com/en/supplier-centers/murata-electronics"/>
    <hyperlink ref="L13" r:id="rId7"/>
    <hyperlink ref="L14" r:id="rId8"/>
    <hyperlink ref="L18" r:id="rId9"/>
    <hyperlink ref="L20" r:id="rId10"/>
    <hyperlink ref="L21" r:id="rId11"/>
    <hyperlink ref="L24" r:id="rId12"/>
    <hyperlink ref="L29" r:id="rId13"/>
    <hyperlink ref="L30" r:id="rId14"/>
    <hyperlink ref="L35" r:id="rId15"/>
    <hyperlink ref="L45" r:id="rId16"/>
    <hyperlink ref="G6" r:id="rId17" display="https://lcsc.com/brand-detail/79.html"/>
    <hyperlink ref="L6" r:id="rId18"/>
    <hyperlink ref="L7" r:id="rId19"/>
    <hyperlink ref="L9" r:id="rId20"/>
    <hyperlink ref="L10" r:id="rId21"/>
    <hyperlink ref="L11" r:id="rId22"/>
    <hyperlink ref="L12" r:id="rId23"/>
    <hyperlink ref="G31" r:id="rId24" display="https://lcsc.com/brand-detail/99.html"/>
    <hyperlink ref="G44" r:id="rId25" display="https://lcsc.com/brand-detail/296.html"/>
    <hyperlink ref="G42" r:id="rId26" display="https://lcsc.com/brand-detail/488.html"/>
    <hyperlink ref="G41" r:id="rId27" display="https://lcsc.com/brand-detail/897.html"/>
    <hyperlink ref="G38" r:id="rId28" display="https://lcsc.com/brand-detail/11667.html"/>
    <hyperlink ref="G28" r:id="rId29" display="https://lcsc.com/brand-detail/99.html"/>
    <hyperlink ref="G26" r:id="rId30" display="https://lcsc.com/brand-detail/99.html"/>
    <hyperlink ref="G25" r:id="rId31" display="https://lcsc.com/brand-detail/99.html"/>
    <hyperlink ref="G22" r:id="rId32" display="https://lcsc.com/brand-detail/512.html"/>
    <hyperlink ref="G17" r:id="rId33" display="https://lcsc.com/brand-detail/11934.html"/>
    <hyperlink ref="L15" r:id="rId34"/>
    <hyperlink ref="L16" r:id="rId35"/>
    <hyperlink ref="L19" r:id="rId36"/>
    <hyperlink ref="L22" r:id="rId37"/>
    <hyperlink ref="L23" r:id="rId38"/>
    <hyperlink ref="L25" r:id="rId39"/>
    <hyperlink ref="L26" r:id="rId40"/>
    <hyperlink ref="L27" r:id="rId41"/>
    <hyperlink ref="L28" r:id="rId42"/>
    <hyperlink ref="L31" r:id="rId43"/>
    <hyperlink ref="G32" r:id="rId44" display="https://www.digikey.com/en/supplier-centers/murata-electronics"/>
    <hyperlink ref="L32" r:id="rId45"/>
    <hyperlink ref="L33" r:id="rId46"/>
    <hyperlink ref="L34" r:id="rId47"/>
    <hyperlink ref="L36" r:id="rId48"/>
    <hyperlink ref="L37" r:id="rId49"/>
    <hyperlink ref="L39" r:id="rId50"/>
    <hyperlink ref="L40" r:id="rId51"/>
    <hyperlink ref="L43" r:id="rId52"/>
    <hyperlink ref="L44" r:id="rId53"/>
    <hyperlink ref="L46" r:id="rId54"/>
    <hyperlink ref="G47" r:id="rId55" tooltip="Magnetic Connectors from HytePro" display="https://www.hyte.pro/"/>
    <hyperlink ref="L38" r:id="rId56"/>
    <hyperlink ref="L42" r:id="rId57"/>
    <hyperlink ref="L41" r:id="rId58"/>
    <hyperlink ref="L17" r:id="rId59"/>
  </hyperlinks>
  <pageMargins left="0.7" right="0.7" top="0.75" bottom="0.75" header="0.3" footer="0.3"/>
  <pageSetup orientation="portrait" r:id="rId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BC2746-D05D-466B-8B7A-FA58F46E43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N56:P56</xm:sqref>
        </x14:conditionalFormatting>
        <x14:conditionalFormatting xmlns:xm="http://schemas.microsoft.com/office/excel/2006/main">
          <x14:cfRule type="dataBar" id="{C4653D46-9E1E-4A9D-9BBE-F1F10435DC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N3:N46</xm:sqref>
        </x14:conditionalFormatting>
        <x14:conditionalFormatting xmlns:xm="http://schemas.microsoft.com/office/excel/2006/main">
          <x14:cfRule type="dataBar" id="{C5B0272F-C97A-4700-81BF-90C991FA66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P3:P46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Brac_PCB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2021-07-09T06:57:51Z</dcterms:created>
  <dcterms:modified xsi:type="dcterms:W3CDTF">2021-07-13T11:55:47Z</dcterms:modified>
</cp:coreProperties>
</file>