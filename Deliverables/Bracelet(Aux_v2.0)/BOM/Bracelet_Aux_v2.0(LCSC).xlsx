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BrianPeri-SmartWatch\Deliverables\Bracelet(Aux_v2.0)\_Deliverables\BOM\"/>
    </mc:Choice>
  </mc:AlternateContent>
  <bookViews>
    <workbookView xWindow="0" yWindow="0" windowWidth="179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" l="1"/>
  <c r="P6" i="1"/>
  <c r="R3" i="1"/>
  <c r="P3" i="1"/>
  <c r="P4" i="1"/>
  <c r="P5" i="1"/>
  <c r="M5" i="1" l="1"/>
  <c r="R5" i="1" s="1"/>
  <c r="M4" i="1"/>
  <c r="R4" i="1" s="1"/>
  <c r="A4" i="1"/>
  <c r="A5" i="1" s="1"/>
  <c r="M3" i="1"/>
</calcChain>
</file>

<file path=xl/sharedStrings.xml><?xml version="1.0" encoding="utf-8"?>
<sst xmlns="http://schemas.openxmlformats.org/spreadsheetml/2006/main" count="48" uniqueCount="41">
  <si>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</si>
  <si>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</si>
  <si>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</si>
  <si>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</si>
  <si>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</si>
  <si>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</si>
  <si>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</si>
  <si>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</si>
  <si>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</si>
  <si>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</si>
  <si>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Unit Cost(1)</t>
  </si>
  <si>
    <t>Total Cost(1)</t>
  </si>
  <si>
    <t>Unit Cost (5 Boards)</t>
  </si>
  <si>
    <t>Total Cost (5)</t>
  </si>
  <si>
    <t>Remarks</t>
  </si>
  <si>
    <t>Capacitor</t>
  </si>
  <si>
    <t>Multilayer Ceramic Capacitors MLCC - SMD/SMT 0201 0.1uF 25volts X5R 10%</t>
  </si>
  <si>
    <t>C1, C2</t>
  </si>
  <si>
    <t>CAP 0201</t>
  </si>
  <si>
    <t>GRM033R61E104KE14D</t>
  </si>
  <si>
    <t>Murata</t>
  </si>
  <si>
    <t>0.1uF</t>
  </si>
  <si>
    <t>Connector</t>
  </si>
  <si>
    <t>CONN FPC 3POS 0.5MM SMD R/A</t>
  </si>
  <si>
    <t>J1</t>
  </si>
  <si>
    <t>3 Pin FPC</t>
  </si>
  <si>
    <t/>
  </si>
  <si>
    <t>---------</t>
  </si>
  <si>
    <t>DO NOT MOUNT</t>
  </si>
  <si>
    <t>SMD PADS</t>
  </si>
  <si>
    <t>J2</t>
  </si>
  <si>
    <t>SMD PAD</t>
  </si>
  <si>
    <t xml:space="preserve">Total Component Cost </t>
  </si>
  <si>
    <t>Single Board Cost</t>
  </si>
  <si>
    <t>Bill of Material (BOM) for  Brian Peri</t>
  </si>
  <si>
    <t xml:space="preserve">LCSC Part No </t>
  </si>
  <si>
    <t>LCSC/MOQ</t>
  </si>
  <si>
    <t>Quantity (5 boards)</t>
  </si>
  <si>
    <t>LCSC Link</t>
  </si>
  <si>
    <t>C76939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</si>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</sst>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0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/>
    <xf numFmtId="0" fontId="3" fillId="0" borderId="7" xfId="0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3" fillId="3" borderId="10" xfId="0" quotePrefix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0" xfId="0" quotePrefix="1" applyFont="1" applyFill="1" applyBorder="1" applyAlignment="1">
      <alignment horizontal="center" vertical="center"/>
    </xf>
    <xf numFmtId="165" fontId="6" fillId="3" borderId="10" xfId="0" quotePrefix="1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4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5" fontId="5" fillId="0" borderId="7" xfId="1" applyNumberFormat="1" applyBorder="1" applyAlignment="1">
      <alignment horizontal="center" vertical="center"/>
    </xf>
    <xf numFmtId="165" fontId="0" fillId="0" borderId="0" xfId="0" applyNumberFormat="1"/>
    <xf numFmtId="0" fontId="1" fillId="0" borderId="6" xfId="0" applyFont="1" applyBorder="1" applyAlignment="1">
      <alignment horizontal="center" vertical="center"/>
    </xf>
    <xf numFmtId="0" fontId="3" fillId="0" borderId="7" xfId="0" quotePrefix="1" applyFont="1" applyBorder="1"/>
    <xf numFmtId="0" fontId="9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0" fillId="0" borderId="8" xfId="0" applyBorder="1"/>
    <xf numFmtId="0" fontId="1" fillId="0" borderId="13" xfId="0" applyFont="1" applyBorder="1" applyAlignment="1">
      <alignment horizontal="center" vertical="center"/>
    </xf>
    <xf numFmtId="0" fontId="3" fillId="3" borderId="14" xfId="0" quotePrefix="1" applyFont="1" applyFill="1" applyBorder="1"/>
    <xf numFmtId="0" fontId="3" fillId="3" borderId="14" xfId="0" quotePrefix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6" fillId="3" borderId="14" xfId="0" quotePrefix="1" applyFont="1" applyFill="1" applyBorder="1" applyAlignment="1">
      <alignment horizontal="center" vertical="center"/>
    </xf>
    <xf numFmtId="165" fontId="6" fillId="3" borderId="14" xfId="0" quotePrefix="1" applyNumberFormat="1" applyFont="1" applyFill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3" borderId="10" xfId="0" quotePrefix="1" applyFont="1" applyFill="1" applyBorder="1"/>
    <xf numFmtId="165" fontId="4" fillId="3" borderId="10" xfId="0" applyNumberFormat="1" applyFont="1" applyFill="1" applyBorder="1" applyAlignment="1">
      <alignment horizontal="center" vertical="center"/>
    </xf>
    <xf numFmtId="0" fontId="0" fillId="3" borderId="14" xfId="0" applyFill="1" applyBorder="1"/>
    <xf numFmtId="0" fontId="0" fillId="3" borderId="1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Multilayer-Ceramic-Capacitors-MLCC-SMD-SMT_Murata-Electronics-GRM033R61E104KE14D_C769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F25" sqref="F25"/>
    </sheetView>
  </sheetViews>
  <sheetFormatPr defaultRowHeight="15" x14ac:dyDescent="0.25"/>
  <cols>
    <col min="1" max="1" width="6.140625" bestFit="1" customWidth="1"/>
    <col min="2" max="7" width="14.42578125" customWidth="1"/>
    <col min="11" max="11" width="11.5703125" bestFit="1" customWidth="1"/>
    <col min="13" max="13" width="11.5703125" bestFit="1" customWidth="1"/>
    <col min="14" max="14" width="12.140625" bestFit="1" customWidth="1"/>
    <col min="15" max="15" width="18.7109375" bestFit="1" customWidth="1"/>
    <col min="16" max="16" width="12.5703125" bestFit="1" customWidth="1"/>
    <col min="17" max="17" width="14" bestFit="1" customWidth="1"/>
  </cols>
  <sheetData>
    <row r="1" spans="1:19" ht="16.5" thickBot="1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6.5" thickBot="1" x14ac:dyDescent="0.3">
      <c r="A2" s="20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35</v>
      </c>
      <c r="I2" s="21" t="s">
        <v>7</v>
      </c>
      <c r="J2" s="21" t="s">
        <v>8</v>
      </c>
      <c r="K2" s="21" t="s">
        <v>36</v>
      </c>
      <c r="L2" s="21" t="s">
        <v>9</v>
      </c>
      <c r="M2" s="21" t="s">
        <v>37</v>
      </c>
      <c r="N2" s="21" t="s">
        <v>38</v>
      </c>
      <c r="O2" s="21" t="s">
        <v>10</v>
      </c>
      <c r="P2" s="21" t="s">
        <v>11</v>
      </c>
      <c r="Q2" s="21" t="s">
        <v>12</v>
      </c>
      <c r="R2" s="21" t="s">
        <v>13</v>
      </c>
      <c r="S2" s="21" t="s">
        <v>14</v>
      </c>
    </row>
    <row r="3" spans="1:19" ht="16.5" thickBot="1" x14ac:dyDescent="0.3">
      <c r="A3" s="4">
        <v>1</v>
      </c>
      <c r="B3" s="24" t="s">
        <v>15</v>
      </c>
      <c r="C3" s="2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26" t="s">
        <v>39</v>
      </c>
      <c r="I3" s="27"/>
      <c r="J3" s="5" t="s">
        <v>21</v>
      </c>
      <c r="K3" s="27">
        <v>50</v>
      </c>
      <c r="L3" s="7">
        <v>2</v>
      </c>
      <c r="M3" s="6">
        <f>L3*5</f>
        <v>10</v>
      </c>
      <c r="N3" s="22" t="s">
        <v>40</v>
      </c>
      <c r="O3" s="8">
        <v>6.0000000000000001E-3</v>
      </c>
      <c r="P3" s="9">
        <f>O3*L3</f>
        <v>1.2E-2</v>
      </c>
      <c r="Q3" s="8">
        <v>6.0000000000000001E-3</v>
      </c>
      <c r="R3" s="28">
        <f>Q3*K3</f>
        <v>0.3</v>
      </c>
      <c r="S3" s="29"/>
    </row>
    <row r="4" spans="1:19" ht="15.75" thickBot="1" x14ac:dyDescent="0.3">
      <c r="A4" s="4">
        <f>A3+1</f>
        <v>2</v>
      </c>
      <c r="B4" s="30" t="s">
        <v>22</v>
      </c>
      <c r="C4" s="31" t="s">
        <v>23</v>
      </c>
      <c r="D4" s="32" t="s">
        <v>24</v>
      </c>
      <c r="E4" s="32" t="s">
        <v>25</v>
      </c>
      <c r="F4" s="32" t="s">
        <v>25</v>
      </c>
      <c r="G4" s="32" t="s">
        <v>26</v>
      </c>
      <c r="H4" s="33"/>
      <c r="I4" s="42"/>
      <c r="J4" s="32" t="s">
        <v>25</v>
      </c>
      <c r="K4" s="42"/>
      <c r="L4" s="34">
        <v>1</v>
      </c>
      <c r="M4" s="33">
        <f t="shared" ref="M4:M5" si="0">L4*5</f>
        <v>5</v>
      </c>
      <c r="N4" s="35" t="s">
        <v>27</v>
      </c>
      <c r="O4" s="36">
        <v>0</v>
      </c>
      <c r="P4" s="37">
        <f>O4*L4</f>
        <v>0</v>
      </c>
      <c r="Q4" s="36">
        <v>0</v>
      </c>
      <c r="R4" s="37">
        <f>Q4*M4</f>
        <v>0</v>
      </c>
      <c r="S4" s="38" t="s">
        <v>28</v>
      </c>
    </row>
    <row r="5" spans="1:19" ht="15.75" thickBot="1" x14ac:dyDescent="0.3">
      <c r="A5" s="4">
        <f>A4+1</f>
        <v>3</v>
      </c>
      <c r="B5" s="39"/>
      <c r="C5" s="40" t="s">
        <v>29</v>
      </c>
      <c r="D5" s="10" t="s">
        <v>30</v>
      </c>
      <c r="E5" s="10" t="s">
        <v>31</v>
      </c>
      <c r="F5" s="10" t="s">
        <v>31</v>
      </c>
      <c r="G5" s="10" t="s">
        <v>26</v>
      </c>
      <c r="H5" s="11"/>
      <c r="I5" s="43"/>
      <c r="J5" s="10" t="s">
        <v>29</v>
      </c>
      <c r="K5" s="43"/>
      <c r="L5" s="12">
        <v>1</v>
      </c>
      <c r="M5" s="11">
        <f t="shared" si="0"/>
        <v>5</v>
      </c>
      <c r="N5" s="13" t="s">
        <v>27</v>
      </c>
      <c r="O5" s="14">
        <v>0</v>
      </c>
      <c r="P5" s="41">
        <f>O5*L5</f>
        <v>0</v>
      </c>
      <c r="Q5" s="14">
        <v>0</v>
      </c>
      <c r="R5" s="41">
        <f>Q5*M5</f>
        <v>0</v>
      </c>
      <c r="S5" s="15" t="s">
        <v>28</v>
      </c>
    </row>
    <row r="6" spans="1:19" ht="19.5" thickBot="1" x14ac:dyDescent="0.35">
      <c r="J6" s="16" t="s">
        <v>32</v>
      </c>
      <c r="K6" s="16"/>
      <c r="L6" s="16"/>
      <c r="M6" s="16"/>
      <c r="N6" s="17"/>
      <c r="O6" s="17"/>
      <c r="P6" s="18">
        <f>SUM(P3)</f>
        <v>1.2E-2</v>
      </c>
      <c r="R6" s="23">
        <f>SUM(R3)</f>
        <v>0.3</v>
      </c>
    </row>
    <row r="7" spans="1:19" ht="18.75" x14ac:dyDescent="0.3">
      <c r="J7" s="19" t="s">
        <v>33</v>
      </c>
      <c r="K7" s="19"/>
      <c r="L7" s="19"/>
      <c r="M7" s="19"/>
      <c r="N7" s="18"/>
      <c r="O7" s="17"/>
      <c r="P7" s="18"/>
    </row>
  </sheetData>
  <mergeCells count="4">
    <mergeCell ref="B4:B5"/>
    <mergeCell ref="J6:M6"/>
    <mergeCell ref="J7:M7"/>
    <mergeCell ref="A1:S1"/>
  </mergeCells>
  <conditionalFormatting sqref="N7:P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{9E0A94C5-5F12-492B-B402-6EDB86A283D9}</x14:id>
        </ext>
      </extLst>
    </cfRule>
  </conditionalFormatting>
  <conditionalFormatting sqref="L3:M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5 N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{DEECB6AD-4B13-4395-BEBA-42F55EC7DAFE}</x14:id>
        </ext>
      </extLst>
    </cfRule>
  </conditionalFormatting>
  <conditionalFormatting sqref="R4:R5 P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{75A7D654-C698-4F9C-816D-339D39482216}</x14:id>
        </ext>
      </extLst>
    </cfRule>
  </conditionalFormatting>
  <hyperlinks>
    <hyperlink ref="N3" r:id="rId1"/>
  </hyperlink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0A94C5-5F12-492B-B402-6EDB86A283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N7:P7</xm:sqref>
        </x14:conditionalFormatting>
        <x14:conditionalFormatting xmlns:xm="http://schemas.microsoft.com/office/excel/2006/main">
          <x14:cfRule type="dataBar" id="{DEECB6AD-4B13-4395-BEBA-42F55EC7D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P4:P5 N3</xm:sqref>
        </x14:conditionalFormatting>
        <x14:conditionalFormatting xmlns:xm="http://schemas.microsoft.com/office/excel/2006/main">
          <x14:cfRule type="dataBar" id="{75A7D654-C698-4F9C-816D-339D39482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R4:R5 P3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2021-07-12T10:09:06Z</dcterms:created>
  <dcterms:modified xsi:type="dcterms:W3CDTF">2021-07-12T10:16:49Z</dcterms:modified>
</cp:coreProperties>
</file>