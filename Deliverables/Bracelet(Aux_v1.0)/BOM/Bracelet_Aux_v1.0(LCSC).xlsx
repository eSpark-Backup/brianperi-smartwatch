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itHub\BrianPeri-SmartWatch\Deliverables\Bracelet(Aux_v1.0)\_Deliverables\BOM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" i="1" l="1"/>
  <c r="R7" i="1"/>
  <c r="P8" i="1"/>
  <c r="R4" i="1"/>
  <c r="R5" i="1"/>
  <c r="R6" i="1"/>
  <c r="R3" i="1"/>
  <c r="P4" i="1"/>
  <c r="P5" i="1"/>
  <c r="P6" i="1"/>
  <c r="Q6" i="1" s="1"/>
  <c r="P3" i="1"/>
  <c r="M6" i="1" l="1"/>
  <c r="M5" i="1"/>
  <c r="M4" i="1"/>
  <c r="A4" i="1"/>
  <c r="A5" i="1" s="1"/>
  <c r="A6" i="1" s="1"/>
  <c r="M3" i="1"/>
</calcChain>
</file>

<file path=xl/sharedStrings.xml><?xml version="1.0" encoding="utf-8"?>
<sst xmlns="http://schemas.openxmlformats.org/spreadsheetml/2006/main" count="55" uniqueCount="50">
  <si>
    <t>Bill of Material (BOM) for  Brian Peri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</si>
  <si>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</si>
  <si>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</si>
  <si>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</si>
  <si>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</si>
  <si>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</si>
  <si>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</si>
  <si>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</si>
  <si>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</si>
  <si>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</si>
  <si>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</si>
  <si>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Unit Cost(1)</t>
  </si>
  <si>
    <t>Total Cost(1)</t>
  </si>
  <si>
    <t>Unit Cost (5 Boards)</t>
  </si>
  <si>
    <t>Total Cost (5)</t>
  </si>
  <si>
    <t>Remarks</t>
  </si>
  <si>
    <t>Capacitor</t>
  </si>
  <si>
    <t>Multilayer Ceramic Capacitors MLCC - SMD/SMT 0201 0.1uF 25volts X5R 10%</t>
  </si>
  <si>
    <t>C1, C2, C3, C4, C5</t>
  </si>
  <si>
    <t>CAP 0201</t>
  </si>
  <si>
    <t>GRM033R61E104KE14D</t>
  </si>
  <si>
    <t>Murata</t>
  </si>
  <si>
    <t>0.1uF</t>
  </si>
  <si>
    <t>Resistor</t>
  </si>
  <si>
    <t>Res 5.1K Ohm 5% 1/20W 0201</t>
  </si>
  <si>
    <t>R1, R2</t>
  </si>
  <si>
    <t>Res-0201</t>
  </si>
  <si>
    <t>WR02X512JAL</t>
  </si>
  <si>
    <t>Walsin Technologies</t>
  </si>
  <si>
    <t>5.1K</t>
  </si>
  <si>
    <t>Connector</t>
  </si>
  <si>
    <t>CONN RCPT USB3.1 TYPE C SMT VERT</t>
  </si>
  <si>
    <t>J1</t>
  </si>
  <si>
    <t>CX80B1-24P</t>
  </si>
  <si>
    <t>Hirose</t>
  </si>
  <si>
    <t>CONN FPC 3POS 0.5MM SMD R/A</t>
  </si>
  <si>
    <t>J2</t>
  </si>
  <si>
    <t>3 Pin FPC</t>
  </si>
  <si>
    <t/>
  </si>
  <si>
    <t>DO NOT MOUNT</t>
  </si>
  <si>
    <t xml:space="preserve">Total Component Cost </t>
  </si>
  <si>
    <t>Single Board Cost</t>
  </si>
  <si>
    <t xml:space="preserve">LCSC Part No </t>
  </si>
  <si>
    <t>LCSC/MOQ</t>
  </si>
  <si>
    <t>Quantity (5 boards)</t>
  </si>
  <si>
    <t>LCSC Link</t>
  </si>
  <si>
    <t>C76939</t>
  </si>
  <si>
    <t>LCSC</t>
  </si>
  <si>
    <t>C367648</t>
  </si>
  <si>
    <t>TME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</si>
</sst>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&quot;$&quot;#,##0.00"/>
    <numFmt numFmtId="173" formatCode="&quot;$&quot;#,##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2E353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5" xfId="0" applyFont="1" applyBorder="1"/>
    <xf numFmtId="0" fontId="1" fillId="0" borderId="7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wrapText="1"/>
    </xf>
    <xf numFmtId="165" fontId="0" fillId="0" borderId="0" xfId="0" applyNumberFormat="1"/>
    <xf numFmtId="0" fontId="7" fillId="4" borderId="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 applyBorder="1"/>
    <xf numFmtId="0" fontId="5" fillId="0" borderId="0" xfId="0" applyFont="1" applyBorder="1" applyAlignment="1">
      <alignment horizontal="center" vertical="center"/>
    </xf>
    <xf numFmtId="173" fontId="0" fillId="0" borderId="0" xfId="0" applyNumberFormat="1"/>
    <xf numFmtId="0" fontId="3" fillId="0" borderId="9" xfId="0" applyFont="1" applyBorder="1"/>
    <xf numFmtId="0" fontId="1" fillId="0" borderId="5" xfId="0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left" vertical="top"/>
    </xf>
    <xf numFmtId="0" fontId="4" fillId="0" borderId="11" xfId="0" quotePrefix="1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11" fillId="0" borderId="11" xfId="1" applyNumberFormat="1" applyFont="1" applyBorder="1" applyAlignment="1">
      <alignment horizontal="center" vertical="center"/>
    </xf>
    <xf numFmtId="173" fontId="9" fillId="0" borderId="11" xfId="0" applyNumberFormat="1" applyFont="1" applyBorder="1" applyAlignment="1">
      <alignment horizontal="center" vertical="center"/>
    </xf>
    <xf numFmtId="173" fontId="10" fillId="0" borderId="11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left" vertical="top"/>
    </xf>
    <xf numFmtId="0" fontId="4" fillId="0" borderId="14" xfId="0" quotePrefix="1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65" fontId="11" fillId="0" borderId="14" xfId="1" applyNumberFormat="1" applyFont="1" applyBorder="1" applyAlignment="1">
      <alignment horizontal="center" vertical="center"/>
    </xf>
    <xf numFmtId="173" fontId="13" fillId="0" borderId="14" xfId="0" applyNumberFormat="1" applyFont="1" applyBorder="1" applyAlignment="1">
      <alignment horizontal="center" vertical="center"/>
    </xf>
    <xf numFmtId="173" fontId="10" fillId="0" borderId="14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4" fillId="3" borderId="16" xfId="0" quotePrefix="1" applyFont="1" applyFill="1" applyBorder="1" applyAlignment="1">
      <alignment horizontal="left" vertical="top"/>
    </xf>
    <xf numFmtId="0" fontId="4" fillId="3" borderId="17" xfId="0" quotePrefix="1" applyFont="1" applyFill="1" applyBorder="1" applyAlignment="1">
      <alignment horizontal="center" vertical="center"/>
    </xf>
    <xf numFmtId="0" fontId="9" fillId="3" borderId="17" xfId="0" quotePrefix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173" fontId="10" fillId="3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me.eu/en/details/cx80b1-24p_c/usb-ieee1394-connectors/hirose/cx80b1-24p/?utm_source=digipart.com&amp;utm_medium=cpc&amp;utm_campaign=compare-2021-07" TargetMode="External"/><Relationship Id="rId2" Type="http://schemas.openxmlformats.org/officeDocument/2006/relationships/hyperlink" Target="https://lcsc.com/product-detail/Chip-Resistor-Surface-Mount_Walsin-Tech-Corp-WR02X512JAL_C367648.html" TargetMode="External"/><Relationship Id="rId1" Type="http://schemas.openxmlformats.org/officeDocument/2006/relationships/hyperlink" Target="https://lcsc.com/product-detail/Multilayer-Ceramic-Capacitors-MLCC-SMD-SMT_Murata-Electronics-GRM033R61E104KE14D_C76939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topLeftCell="D1" workbookViewId="0">
      <selection activeCell="R20" sqref="R20"/>
    </sheetView>
  </sheetViews>
  <sheetFormatPr defaultRowHeight="15" x14ac:dyDescent="0.25"/>
  <cols>
    <col min="1" max="1" width="6.140625" bestFit="1" customWidth="1"/>
    <col min="2" max="2" width="14.42578125" customWidth="1"/>
    <col min="3" max="3" width="39.28515625" customWidth="1"/>
    <col min="4" max="4" width="14.42578125" customWidth="1"/>
    <col min="5" max="5" width="18.5703125" bestFit="1" customWidth="1"/>
    <col min="6" max="6" width="25.28515625" bestFit="1" customWidth="1"/>
    <col min="7" max="7" width="17.7109375" bestFit="1" customWidth="1"/>
    <col min="8" max="8" width="14.42578125" customWidth="1"/>
    <col min="9" max="9" width="10.5703125" bestFit="1" customWidth="1"/>
    <col min="10" max="10" width="8.140625" customWidth="1"/>
    <col min="12" max="12" width="11.7109375" bestFit="1" customWidth="1"/>
    <col min="15" max="16" width="10.7109375" bestFit="1" customWidth="1"/>
    <col min="17" max="17" width="15.85546875" bestFit="1" customWidth="1"/>
    <col min="18" max="18" width="11.85546875" bestFit="1" customWidth="1"/>
    <col min="19" max="19" width="16.85546875" bestFit="1" customWidth="1"/>
  </cols>
  <sheetData>
    <row r="1" spans="1:20" ht="16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20" ht="16.5" thickBot="1" x14ac:dyDescent="0.3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42</v>
      </c>
      <c r="I2" s="10" t="s">
        <v>8</v>
      </c>
      <c r="J2" s="10" t="s">
        <v>9</v>
      </c>
      <c r="K2" s="10" t="s">
        <v>43</v>
      </c>
      <c r="L2" s="10" t="s">
        <v>10</v>
      </c>
      <c r="M2" s="10" t="s">
        <v>44</v>
      </c>
      <c r="N2" s="10" t="s">
        <v>45</v>
      </c>
      <c r="O2" s="10" t="s">
        <v>11</v>
      </c>
      <c r="P2" s="10" t="s">
        <v>12</v>
      </c>
      <c r="Q2" s="10" t="s">
        <v>13</v>
      </c>
      <c r="R2" s="10" t="s">
        <v>14</v>
      </c>
      <c r="S2" s="10" t="s">
        <v>15</v>
      </c>
    </row>
    <row r="3" spans="1:20" ht="16.5" thickBot="1" x14ac:dyDescent="0.3">
      <c r="A3" s="4">
        <v>1</v>
      </c>
      <c r="B3" s="15" t="s">
        <v>16</v>
      </c>
      <c r="C3" s="16" t="s">
        <v>17</v>
      </c>
      <c r="D3" s="17" t="s">
        <v>18</v>
      </c>
      <c r="E3" s="18" t="s">
        <v>19</v>
      </c>
      <c r="F3" s="18" t="s">
        <v>20</v>
      </c>
      <c r="G3" s="18" t="s">
        <v>21</v>
      </c>
      <c r="H3" s="19" t="s">
        <v>46</v>
      </c>
      <c r="I3" s="20"/>
      <c r="J3" s="18" t="s">
        <v>22</v>
      </c>
      <c r="K3" s="20">
        <v>50</v>
      </c>
      <c r="L3" s="21">
        <v>5</v>
      </c>
      <c r="M3" s="20">
        <f>L3*5</f>
        <v>25</v>
      </c>
      <c r="N3" s="22" t="s">
        <v>47</v>
      </c>
      <c r="O3" s="23">
        <v>6.0000000000000001E-3</v>
      </c>
      <c r="P3" s="24">
        <f>O3*L3</f>
        <v>0.03</v>
      </c>
      <c r="Q3" s="23">
        <v>6.0000000000000001E-3</v>
      </c>
      <c r="R3" s="24">
        <f>Q3*K3</f>
        <v>0.3</v>
      </c>
      <c r="S3" s="25"/>
      <c r="T3" s="11"/>
    </row>
    <row r="4" spans="1:20" ht="16.5" thickBot="1" x14ac:dyDescent="0.3">
      <c r="A4" s="14">
        <f>A3+1</f>
        <v>2</v>
      </c>
      <c r="B4" s="15" t="s">
        <v>23</v>
      </c>
      <c r="C4" s="16" t="s">
        <v>24</v>
      </c>
      <c r="D4" s="17" t="s">
        <v>25</v>
      </c>
      <c r="E4" s="18" t="s">
        <v>26</v>
      </c>
      <c r="F4" s="18" t="s">
        <v>27</v>
      </c>
      <c r="G4" s="18" t="s">
        <v>28</v>
      </c>
      <c r="H4" s="26" t="s">
        <v>48</v>
      </c>
      <c r="I4" s="20"/>
      <c r="J4" s="18" t="s">
        <v>29</v>
      </c>
      <c r="K4" s="20">
        <v>100</v>
      </c>
      <c r="L4" s="21">
        <v>2</v>
      </c>
      <c r="M4" s="20">
        <f t="shared" ref="M4:M6" si="0">L4*5</f>
        <v>10</v>
      </c>
      <c r="N4" s="22" t="s">
        <v>47</v>
      </c>
      <c r="O4" s="23">
        <v>1E-3</v>
      </c>
      <c r="P4" s="24">
        <f t="shared" ref="P4:P6" si="1">O4*L4</f>
        <v>2E-3</v>
      </c>
      <c r="Q4" s="23">
        <v>1E-3</v>
      </c>
      <c r="R4" s="24">
        <f t="shared" ref="R4:R6" si="2">Q4*K4</f>
        <v>0.1</v>
      </c>
      <c r="S4" s="25"/>
      <c r="T4" s="11"/>
    </row>
    <row r="5" spans="1:20" ht="16.5" thickBot="1" x14ac:dyDescent="0.3">
      <c r="A5" s="4">
        <f t="shared" ref="A5:A6" si="3">A4+1</f>
        <v>3</v>
      </c>
      <c r="B5" s="27" t="s">
        <v>30</v>
      </c>
      <c r="C5" s="28" t="s">
        <v>31</v>
      </c>
      <c r="D5" s="29" t="s">
        <v>32</v>
      </c>
      <c r="E5" s="30" t="s">
        <v>33</v>
      </c>
      <c r="F5" s="30" t="s">
        <v>33</v>
      </c>
      <c r="G5" s="30" t="s">
        <v>34</v>
      </c>
      <c r="H5" s="31"/>
      <c r="I5" s="31"/>
      <c r="J5" s="30" t="s">
        <v>33</v>
      </c>
      <c r="K5" s="31">
        <v>5</v>
      </c>
      <c r="L5" s="32">
        <v>1</v>
      </c>
      <c r="M5" s="31">
        <f t="shared" si="0"/>
        <v>5</v>
      </c>
      <c r="N5" s="33" t="s">
        <v>49</v>
      </c>
      <c r="O5" s="34">
        <v>2.3241000000000001</v>
      </c>
      <c r="P5" s="35">
        <f t="shared" si="1"/>
        <v>2.3241000000000001</v>
      </c>
      <c r="Q5" s="34">
        <v>2.3241000000000001</v>
      </c>
      <c r="R5" s="35">
        <f t="shared" si="2"/>
        <v>11.6205</v>
      </c>
      <c r="S5" s="36"/>
      <c r="T5" s="11"/>
    </row>
    <row r="6" spans="1:20" ht="16.5" thickBot="1" x14ac:dyDescent="0.3">
      <c r="A6" s="4">
        <f t="shared" si="3"/>
        <v>4</v>
      </c>
      <c r="B6" s="5"/>
      <c r="C6" s="37" t="s">
        <v>35</v>
      </c>
      <c r="D6" s="38" t="s">
        <v>36</v>
      </c>
      <c r="E6" s="39" t="s">
        <v>37</v>
      </c>
      <c r="F6" s="39" t="s">
        <v>38</v>
      </c>
      <c r="G6" s="39" t="s">
        <v>38</v>
      </c>
      <c r="H6" s="40"/>
      <c r="I6" s="40"/>
      <c r="J6" s="39" t="s">
        <v>37</v>
      </c>
      <c r="K6" s="40"/>
      <c r="L6" s="41">
        <v>1</v>
      </c>
      <c r="M6" s="40">
        <f t="shared" si="0"/>
        <v>5</v>
      </c>
      <c r="N6" s="40"/>
      <c r="O6" s="42">
        <v>0</v>
      </c>
      <c r="P6" s="42">
        <f t="shared" si="1"/>
        <v>0</v>
      </c>
      <c r="Q6" s="42">
        <f>P6*L6</f>
        <v>0</v>
      </c>
      <c r="R6" s="42">
        <f t="shared" si="2"/>
        <v>0</v>
      </c>
      <c r="S6" s="43" t="s">
        <v>39</v>
      </c>
      <c r="T6" s="11"/>
    </row>
    <row r="7" spans="1:20" ht="19.5" thickBot="1" x14ac:dyDescent="0.35">
      <c r="H7" s="12"/>
      <c r="J7" s="6" t="s">
        <v>40</v>
      </c>
      <c r="K7" s="6"/>
      <c r="L7" s="6"/>
      <c r="M7" s="6"/>
      <c r="O7" s="13"/>
      <c r="Q7" s="13"/>
      <c r="R7" s="13">
        <f>SUM(R3:R6)</f>
        <v>12.0205</v>
      </c>
    </row>
    <row r="8" spans="1:20" ht="18.75" x14ac:dyDescent="0.3">
      <c r="J8" s="8" t="s">
        <v>41</v>
      </c>
      <c r="K8" s="8"/>
      <c r="L8" s="8"/>
      <c r="M8" s="8"/>
      <c r="N8" s="7"/>
      <c r="P8" s="13">
        <f>SUM(P3:P6)</f>
        <v>2.3561000000000001</v>
      </c>
      <c r="R8" s="7">
        <f>R7/5</f>
        <v>2.4041000000000001</v>
      </c>
    </row>
  </sheetData>
  <mergeCells count="4">
    <mergeCell ref="B5:B6"/>
    <mergeCell ref="J7:M7"/>
    <mergeCell ref="J8:M8"/>
    <mergeCell ref="A1:S1"/>
  </mergeCells>
  <conditionalFormatting sqref="L3:M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:O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{8FF5A88F-A1E5-443A-AA0A-2772BE20CD35}</x14:id>
        </ext>
      </extLst>
    </cfRule>
  </conditionalFormatting>
  <conditionalFormatting sqref="N3:N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{7C20FCA3-CB4D-4974-9184-6C0E96B87924}</x14:id>
        </ext>
      </extLst>
    </cfRule>
  </conditionalFormatting>
  <conditionalFormatting sqref="P3:P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{1AC39843-7BB0-4D33-A67B-E1310108D412}</x14:id>
        </ext>
      </extLst>
    </cfRule>
  </conditionalFormatting>
  <conditionalFormatting sqref="Q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{48CB35F5-E0EA-473C-8DDB-8D316B829D18}</x14:id>
        </ext>
      </extLst>
    </cfRule>
  </conditionalFormatting>
  <conditionalFormatting sqref="O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{D346DE8B-C9BD-47E5-96C4-8CC3788F0770}</x14:id>
        </ext>
      </extLst>
    </cfRule>
  </conditionalFormatting>
  <conditionalFormatting sqref="P8:R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{D22883D3-5183-4620-BBBA-B1F8AE3D8ACB}</x14:id>
        </ext>
      </extLst>
    </cfRule>
  </conditionalFormatting>
  <conditionalFormatting sqref="R3:R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{71F36226-46A5-4E8B-AB59-88824C109BFE}</x14:id>
        </ext>
      </extLst>
    </cfRule>
  </conditionalFormatting>
  <hyperlinks>
    <hyperlink ref="N3" r:id="rId1"/>
    <hyperlink ref="N4" r:id="rId2"/>
    <hyperlink ref="N5" r:id="rId3"/>
  </hyperlinks>
  <pageMargins left="0.7" right="0.7" top="0.75" bottom="0.75" header="0.3" footer="0.3"/>
  <pageSetup orientation="portrait"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F5A88F-A1E5-443A-AA0A-2772BE20CD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N8:O8</xm:sqref>
        </x14:conditionalFormatting>
        <x14:conditionalFormatting xmlns:xm="http://schemas.microsoft.com/office/excel/2006/main">
          <x14:cfRule type="dataBar" id="{7C20FCA3-CB4D-4974-9184-6C0E96B879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N3:N5</xm:sqref>
        </x14:conditionalFormatting>
        <x14:conditionalFormatting xmlns:xm="http://schemas.microsoft.com/office/excel/2006/main">
          <x14:cfRule type="dataBar" id="{1AC39843-7BB0-4D33-A67B-E1310108D4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P3:P6</xm:sqref>
        </x14:conditionalFormatting>
        <x14:conditionalFormatting xmlns:xm="http://schemas.microsoft.com/office/excel/2006/main">
          <x14:cfRule type="dataBar" id="{48CB35F5-E0EA-473C-8DDB-8D316B829D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D346DE8B-C9BD-47E5-96C4-8CC3788F07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22883D3-5183-4620-BBBA-B1F8AE3D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71F36226-46A5-4E8B-AB59-88824C109B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2021-07-12T10:17:29Z</dcterms:created>
  <dcterms:modified xsi:type="dcterms:W3CDTF">2021-07-12T10:31:33Z</dcterms:modified>
</cp:coreProperties>
</file>